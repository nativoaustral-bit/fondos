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6cfea068c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MVP" sheetId="1" r:id="Rf99427fce3c84387"/>
    <x:sheet xmlns:r="http://schemas.openxmlformats.org/officeDocument/2006/relationships" name="Entidades" sheetId="2" r:id="R35e01b96e1c34c0f"/>
    <x:sheet xmlns:r="http://schemas.openxmlformats.org/officeDocument/2006/relationships" name="Instrumentos" sheetId="3" r:id="Ree79c79e5bae4001"/>
    <x:sheet xmlns:r="http://schemas.openxmlformats.org/officeDocument/2006/relationships" name="Convocatorias" sheetId="4" r:id="Rc4380180757446d1"/>
    <x:sheet xmlns:r="http://schemas.openxmlformats.org/officeDocument/2006/relationships" name="Campos motor" sheetId="5" r:id="Rf5131332b7f343be"/>
    <x:sheet xmlns:r="http://schemas.openxmlformats.org/officeDocument/2006/relationships" name="Fuentes" sheetId="6" r:id="R3eefeb51e3304529"/>
    <x:sheet xmlns:r="http://schemas.openxmlformats.org/officeDocument/2006/relationships" name="Listas" sheetId="7" r:id="Reae557ba68ac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-yyyy"/>
    <x:numFmt numFmtId="201" formatCode="0"/>
    <x:numFmt numFmtId="202" formatCode="$#,##0;[Red]-$#,##0"/>
    <x:numFmt numFmtId="203" formatCode="0%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sz val="11"/>
      <x:color rgb="FF1D2939"/>
      <x:name val="Carlito"/>
    </x:font>
    <x:font>
      <x:b/>
      <x:sz val="16"/>
      <x:color rgb="FF17365D"/>
      <x:name val="Carlito"/>
    </x:font>
    <x:font>
      <x:b/>
      <x:sz val="18"/>
      <x:color rgb="FFFFFFFF"/>
      <x:name val="Aptos"/>
    </x:font>
    <x:font>
      <x:i/>
      <x:sz val="11"/>
      <x:color rgb="FF17365D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D2939"/>
      <x:name val="Aptos"/>
    </x:font>
    <x:font>
      <x:b/>
      <x:sz val="16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5F8FB"/>
      </x:patternFill>
    </x:fill>
  </x:fills>
  <x:borders count="11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bottom style="thin">
        <x:color rgb="FFE6EAF0"/>
      </x:bottom>
    </x:border>
    <x:border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top style="thin">
        <x:color rgb="FFE6EAF0"/>
      </x:top>
      <x:bottom style="thin">
        <x:color rgb="FFE6EAF0"/>
      </x:bottom>
    </x:border>
    <x:border>
      <x:right style="thin">
        <x:color rgb="FFE6EAF0"/>
      </x:right>
      <x:top style="thin">
        <x:color rgb="FFE6EAF0"/>
      </x:top>
    </x:border>
    <x:border>
      <x:left style="thin">
        <x:color rgb="FFE6EAF0"/>
      </x:left>
      <x:right style="thin">
        <x:color rgb="FFE6EAF0"/>
      </x:right>
      <x:top style="thin">
        <x:color rgb="FFE6EAF0"/>
      </x:top>
    </x:border>
    <x:border>
      <x:left style="thin">
        <x:color rgb="FFE6EAF0"/>
      </x:left>
      <x:top style="thin">
        <x:color rgb="FFE6EAF0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6" xfId="0" applyNumberFormat="1" applyFont="1" applyFill="1" applyBorder="1" applyAlignment="1">
      <x:alignment horizontal="center" vertical="top" wrapText="1"/>
    </x:xf>
    <x:xf numFmtId="200" fontId="4" fillId="0" borderId="9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0" borderId="9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10" fillId="0" borderId="2" xfId="0" applyNumberFormat="1" applyFont="1" applyFill="1" applyBorder="1" applyAlignment="1">
      <x:alignment vertical="top" wrapText="1"/>
    </x:xf>
    <x:xf numFmtId="0" fontId="11" fillId="5" borderId="3" xfId="0" applyNumberFormat="1" applyFont="1" applyFill="1" applyBorder="1" applyAlignment="1">
      <x:alignment horizontal="center"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vertical="top" wrapText="1"/>
    </x:xf>
    <x:xf numFmtId="0" fontId="10" fillId="6" borderId="3" xfId="0" applyNumberFormat="1" applyFont="1" applyFill="1" applyBorder="1" applyAlignment="1">
      <x:alignment vertical="top" wrapText="1"/>
    </x:xf>
    <x:xf numFmtId="0" fontId="10" fillId="6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1" fillId="5" borderId="6" xfId="0" applyNumberFormat="1" applyFont="1" applyFill="1" applyBorder="1" applyAlignment="1">
      <x:alignment horizontal="center"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6" borderId="5" xfId="0" applyNumberFormat="1" applyFont="1" applyFill="1" applyBorder="1" applyAlignment="1">
      <x:alignment vertical="top" wrapText="1"/>
    </x:xf>
    <x:xf numFmtId="0" fontId="10" fillId="6" borderId="6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200" fontId="10" fillId="0" borderId="9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6" borderId="8" xfId="0" applyNumberFormat="1" applyFont="1" applyFill="1" applyBorder="1" applyAlignment="1">
      <x:alignment vertical="top" wrapText="1"/>
    </x:xf>
    <x:xf numFmtId="0" fontId="10" fillId="6" borderId="9" xfId="0" applyNumberFormat="1" applyFont="1" applyFill="1" applyBorder="1" applyAlignment="1">
      <x:alignment vertical="top" wrapText="1"/>
    </x:xf>
    <x:xf numFmtId="0" fontId="10" fillId="6" borderId="10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vertical="top" wrapText="1"/>
    </x:xf>
    <x:xf numFmtId="0" fontId="10" fillId="3" borderId="3" xfId="0" applyNumberFormat="1" applyFont="1" applyFill="1" applyBorder="1" applyAlignment="1">
      <x:alignment vertical="top" wrapText="1"/>
    </x:xf>
    <x:xf numFmtId="0" fontId="10" fillId="3" borderId="4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10" fillId="3" borderId="6" xfId="0" applyNumberFormat="1" applyFont="1" applyFill="1" applyBorder="1" applyAlignment="1">
      <x:alignment vertical="top" wrapText="1"/>
    </x:xf>
    <x:xf numFmtId="0" fontId="10" fillId="3" borderId="7" xfId="0" applyNumberFormat="1" applyFont="1" applyFill="1" applyBorder="1" applyAlignment="1">
      <x:alignment vertical="top" wrapText="1"/>
    </x:xf>
    <x:xf numFmtId="201" fontId="10" fillId="0" borderId="3" xfId="0" applyNumberFormat="1" applyFont="1" applyFill="1" applyBorder="1" applyAlignment="1">
      <x:alignment vertical="top" wrapText="1"/>
    </x:xf>
    <x:xf numFmtId="201" fontId="10" fillId="0" borderId="6" xfId="0" applyNumberFormat="1" applyFont="1" applyFill="1" applyBorder="1" applyAlignment="1">
      <x:alignment vertical="top" wrapText="1"/>
    </x:xf>
    <x:xf numFmtId="201" fontId="10" fillId="0" borderId="9" xfId="0" applyNumberFormat="1" applyFont="1" applyFill="1" applyBorder="1" applyAlignment="1">
      <x:alignment vertical="top" wrapText="1"/>
    </x:xf>
    <x:xf numFmtId="202" fontId="10" fillId="0" borderId="3" xfId="0" applyNumberFormat="1" applyFont="1" applyFill="1" applyBorder="1" applyAlignment="1">
      <x:alignment vertical="top" wrapText="1"/>
    </x:xf>
    <x:xf numFmtId="203" fontId="10" fillId="0" borderId="3" xfId="0" applyNumberFormat="1" applyFont="1" applyFill="1" applyBorder="1" applyAlignment="1">
      <x:alignment vertical="top" wrapText="1"/>
    </x:xf>
    <x:xf numFmtId="200" fontId="10" fillId="0" borderId="3" xfId="0" applyNumberFormat="1" applyFont="1" applyFill="1" applyBorder="1" applyAlignment="1">
      <x:alignment vertical="top" wrapText="1"/>
    </x:xf>
    <x:xf numFmtId="202" fontId="10" fillId="0" borderId="6" xfId="0" applyNumberFormat="1" applyFont="1" applyFill="1" applyBorder="1" applyAlignment="1">
      <x:alignment vertical="top" wrapText="1"/>
    </x:xf>
    <x:xf numFmtId="203" fontId="10" fillId="0" borderId="6" xfId="0" applyNumberFormat="1" applyFont="1" applyFill="1" applyBorder="1" applyAlignment="1">
      <x:alignment vertical="top" wrapText="1"/>
    </x:xf>
    <x:xf numFmtId="200" fontId="10" fillId="0" borderId="6" xfId="0" applyNumberFormat="1" applyFont="1" applyFill="1" applyBorder="1" applyAlignment="1">
      <x:alignment vertical="top" wrapText="1"/>
    </x:xf>
    <x:xf numFmtId="202" fontId="10" fillId="0" borderId="9" xfId="0" applyNumberFormat="1" applyFont="1" applyFill="1" applyBorder="1" applyAlignment="1">
      <x:alignment vertical="top" wrapText="1"/>
    </x:xf>
    <x:xf numFmtId="203" fontId="10" fillId="0" borderId="9" xfId="0" applyNumberFormat="1" applyFont="1" applyFill="1" applyBorder="1" applyAlignment="1">
      <x:alignment vertical="top" wrapText="1"/>
    </x:xf>
    <x:xf numFmtId="201" fontId="10" fillId="0" borderId="4" xfId="0" applyNumberFormat="1" applyFont="1" applyFill="1" applyBorder="1" applyAlignment="1">
      <x:alignment vertical="top" wrapText="1"/>
    </x:xf>
    <x:xf numFmtId="201" fontId="10" fillId="0" borderId="7" xfId="0" applyNumberFormat="1" applyFont="1" applyFill="1" applyBorder="1" applyAlignment="1">
      <x:alignment vertical="top" wrapText="1"/>
    </x:xf>
    <x:xf numFmtId="201" fontId="10" fillId="0" borderId="10" xfId="0" applyNumberFormat="1" applyFont="1" applyFill="1" applyBorder="1" applyAlignment="1">
      <x:alignment vertical="top" wrapText="1"/>
    </x:xf>
    <x:xf numFmtId="200" fontId="10" fillId="0" borderId="4" xfId="0" applyNumberFormat="1" applyFont="1" applyFill="1" applyBorder="1" applyAlignment="1">
      <x:alignment vertical="top" wrapText="1"/>
    </x:xf>
    <x:xf numFmtId="200" fontId="10" fillId="0" borderId="7" xfId="0" applyNumberFormat="1" applyFont="1" applyFill="1" applyBorder="1" applyAlignment="1">
      <x:alignment vertical="top" wrapText="1"/>
    </x:xf>
    <x:xf numFmtId="200" fontId="1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6f9788acf4504" /><Relationship Type="http://schemas.openxmlformats.org/officeDocument/2006/relationships/theme" Target="/xl/theme/theme1.xml" Id="R7261358e80534178" /><Relationship Type="http://schemas.openxmlformats.org/officeDocument/2006/relationships/sharedStrings" Target="/xl/sharedStrings.xml" Id="R85b517bd534745ab" /><Relationship Type="http://schemas.openxmlformats.org/officeDocument/2006/relationships/worksheet" Target="/xl/worksheets/sheet1.xml" Id="Rf99427fce3c84387" /><Relationship Type="http://schemas.openxmlformats.org/officeDocument/2006/relationships/worksheet" Target="/xl/worksheets/sheet2.xml" Id="R35e01b96e1c34c0f" /><Relationship Type="http://schemas.openxmlformats.org/officeDocument/2006/relationships/worksheet" Target="/xl/worksheets/sheet3.xml" Id="Ree79c79e5bae4001" /><Relationship Type="http://schemas.openxmlformats.org/officeDocument/2006/relationships/worksheet" Target="/xl/worksheets/sheet4.xml" Id="Rc4380180757446d1" /><Relationship Type="http://schemas.openxmlformats.org/officeDocument/2006/relationships/worksheet" Target="/xl/worksheets/sheet5.xml" Id="Rf5131332b7f343be" /><Relationship Type="http://schemas.openxmlformats.org/officeDocument/2006/relationships/worksheet" Target="/xl/worksheets/sheet6.xml" Id="R3eefeb51e3304529" /><Relationship Type="http://schemas.openxmlformats.org/officeDocument/2006/relationships/worksheet" Target="/xl/worksheets/sheet7.xml" Id="Reae557ba68ac4fc3" /></Relationships>
</file>

<file path=xl/tables/table1.xml><?xml version="1.0" encoding="utf-8"?>
<x:table xmlns:x="http://schemas.openxmlformats.org/spreadsheetml/2006/main" id="1" name="EntidadesTable" displayName="EntidadesTable" ref="A4:J24" headerRowCount="1" totalsRowCount="0" totalsRowShown="0">
  <x:tableColumns count="10">
    <x:tableColumn id="1" name="Entidad ID"/>
    <x:tableColumn id="2" name="Entidad"/>
    <x:tableColumn id="3" name="Tipo"/>
    <x:tableColumn id="4" name="Alcance"/>
    <x:tableColumn id="5" name="Población foco"/>
    <x:tableColumn id="6" name="Portal"/>
    <x:tableColumn id="7" name="Instrumentos registrados"/>
    <x:tableColumn id="8" name="Frecuencia revisión"/>
    <x:tableColumn id="9" name="URL oficial"/>
    <x:tableColumn id="10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rumentosTable" displayName="InstrumentosTable" ref="A4:X75" headerRowCount="1" totalsRowCount="0" totalsRowShown="0">
  <x:tableColumns count="24">
    <x:tableColumn id="1" name="Instrumento ID"/>
    <x:tableColumn id="2" name="Entidad"/>
    <x:tableColumn id="3" name="Instrumento"/>
    <x:tableColumn id="4" name="Tipo apoyo"/>
    <x:tableColumn id="5" name="No reembolsable"/>
    <x:tableColumn id="6" name="Etapas Humm"/>
    <x:tableColumn id="7" name="Formalización objetivo"/>
    <x:tableColumn id="8" name="Perfil postulante"/>
    <x:tableColumn id="9" name="Alcance"/>
    <x:tableColumn id="10" name="Sector"/>
    <x:tableColumn id="11" name="Monto máx. CLP"/>
    <x:tableColumn id="12" name="% cofinanciamiento público"/>
    <x:tableColumn id="13" name="Aporte postulante"/>
    <x:tableColumn id="14" name="Qué financia"/>
    <x:tableColumn id="15" name="Requisitos clave"/>
    <x:tableColumn id="16" name="Exclusiones/alertas"/>
    <x:tableColumn id="17" name="Periodicidad"/>
    <x:tableColumn id="18" name="Estado observado"/>
    <x:tableColumn id="19" name="Prioridad MVP"/>
    <x:tableColumn id="20" name="Compatible cuando"/>
    <x:tableColumn id="21" name="Siguiente paso"/>
    <x:tableColumn id="22" name="URL oficial"/>
    <x:tableColumn id="23" name="Verificado"/>
    <x:tableColumn id="24" name="Confianz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vocatoriasTable" displayName="ConvocatoriasTable" ref="A4:Q39" headerRowCount="1" totalsRowCount="0" totalsRowShown="0">
  <x:tableColumns count="17">
    <x:tableColumn id="1" name="Convocatoria ID"/>
    <x:tableColumn id="2" name="Instrumento ID"/>
    <x:tableColumn id="3" name="Entidad"/>
    <x:tableColumn id="4" name="Convocatoria"/>
    <x:tableColumn id="5" name="Territorio"/>
    <x:tableColumn id="6" name="Sector/foco"/>
    <x:tableColumn id="7" name="Apertura"/>
    <x:tableColumn id="8" name="Cierre"/>
    <x:tableColumn id="9" name="Estado"/>
    <x:tableColumn id="10" name="Monto máx. CLP"/>
    <x:tableColumn id="11" name="% cofinanciamiento público"/>
    <x:tableColumn id="12" name="Aporte"/>
    <x:tableColumn id="13" name="Elegibilidad clave"/>
    <x:tableColumn id="14" name="Alerta excluyente"/>
    <x:tableColumn id="15" name="URL oficial"/>
    <x:tableColumn id="16" name="Verificado"/>
    <x:tableColumn id="17" name="Días restan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mposMotorTable" displayName="CamposMotorTable" ref="A4:H26" headerRowCount="1" totalsRowCount="0" totalsRowShown="0">
  <x:tableColumns count="8">
    <x:tableColumn id="1" name="Campo"/>
    <x:tableColumn id="2" name="Pregunta en lenguaje simple"/>
    <x:tableColumn id="3" name="Tipo respuesta"/>
    <x:tableColumn id="4" name="Opciones/rango"/>
    <x:tableColumn id="5" name="Filtra"/>
    <x:tableColumn id="6" name="MVP"/>
    <x:tableColumn id="7" name="Dato sensible"/>
    <x:tableColumn id="8" name="Nota de implement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entesTable" displayName="FuentesTable" ref="A4:G40" headerRowCount="1" totalsRowCount="0" totalsRowShown="0">
  <x:tableColumns count="7">
    <x:tableColumn id="1" name="Fuente ID"/>
    <x:tableColumn id="2" name="Entidad"/>
    <x:tableColumn id="3" name="Documento o portal"/>
    <x:tableColumn id="4" name="URL"/>
    <x:tableColumn id="5" name="Tipo"/>
    <x:tableColumn id="6" name="Qué respalda"/>
    <x:tableColumn id="7" name="Verifi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da9518525e4a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87fbdee80d4b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4fef39dadf46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6aa2b4da414e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c18803b88f42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0" hidden="0" customWidth="1"/>
    <x:col min="4" max="4" width="30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81" t="str">
        <x:v>Orientador de Financiamiento Humm — Base no reembolsable Chile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32" customHeight="1">
      <x:c r="A2" s="82" t="str">
        <x:v>Versión inicial para MVP rápido | Verificación al 28-08-2026 | Fuentes oficiales enlazadas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8" customHeight="1">
      <x:c r="A4" s="84" t="str">
        <x:v>Indicador</x:v>
      </x:c>
      <x:c r="B4" s="84" t="str">
        <x:v>Valor</x:v>
      </x:c>
      <x:c r="C4" s="84" t="str">
        <x:v>Lectura</x:v>
      </x:c>
      <x:c r="D4" s="84" t="str">
        <x:v>Uso MVP</x:v>
      </x:c>
      <x:c r="E4" s="83"/>
      <x:c r="F4" s="85" t="str">
        <x:v>Criterio de inclusión</x:v>
      </x:c>
      <x:c r="G4" s="85"/>
      <x:c r="H4" s="85"/>
      <x:c r="I4" s="85"/>
      <x:c r="J4" s="85"/>
    </x:row>
    <x:row r="5">
      <x:c r="A5" s="86" t="str">
        <x:v>Entidades mapeadas</x:v>
      </x:c>
      <x:c r="B5" s="87" t="n">
        <x:f>COUNTA(Entidades!A5:A24)</x:f>
        <x:v>20</x:v>
      </x:c>
      <x:c r="C5" s="88" t="str">
        <x:v>Mapa de administradores públicos, fundaciones y privados</x:v>
      </x:c>
      <x:c r="D5" s="89" t="str">
        <x:v>Mantener responsable y portal por separado</x:v>
      </x:c>
      <x:c r="E5" s="83"/>
      <x:c r="F5" s="90" t="str">
        <x:v>Incluye subsidios, bonificaciones, premios, becas, vouchers y beneficios en especie que no exigen devolución.</x:v>
      </x:c>
      <x:c r="G5" s="91"/>
      <x:c r="H5" s="91"/>
      <x:c r="I5" s="91"/>
      <x:c r="J5" s="92"/>
    </x:row>
    <x:row r="6">
      <x:c r="A6" s="93" t="str">
        <x:v>Instrumentos registrados</x:v>
      </x:c>
      <x:c r="B6" s="94" t="n">
        <x:f>COUNTA(Instrumentos!A5:A75)</x:f>
        <x:v>71</x:v>
      </x:c>
      <x:c r="C6" s="95" t="str">
        <x:v>Programas permanentes, recurrentes y sectoriales</x:v>
      </x:c>
      <x:c r="D6" s="96" t="str">
        <x:v>Base para filtros de compatibilidad</x:v>
      </x:c>
      <x:c r="E6" s="83"/>
      <x:c r="F6" s="97" t="str">
        <x:v>Excluye créditos, microcrédito, capital de riesgo, inversión con participación y apoyos cuyo núcleo sea reembolsable.</x:v>
      </x:c>
      <x:c r="G6" s="98"/>
      <x:c r="H6" s="98"/>
      <x:c r="I6" s="98"/>
      <x:c r="J6" s="99"/>
    </x:row>
    <x:row r="7">
      <x:c r="A7" s="93" t="str">
        <x:v>Convocatorias abiertas</x:v>
      </x:c>
      <x:c r="B7" s="94" t="n">
        <x:f>COUNTIF(Convocatorias!I5:I39,"Abierta")</x:f>
        <x:v>19</x:v>
      </x:c>
      <x:c r="C7" s="95" t="str">
        <x:v>Disponibles al momento de la revisión</x:v>
      </x:c>
      <x:c r="D7" s="96" t="str">
        <x:v>Mostrar primero y advertir plazos</x:v>
      </x:c>
      <x:c r="E7" s="83"/>
      <x:c r="F7" s="97" t="str">
        <x:v>Un instrumento cerrado se conserva porque puede reabrir y sirve para alertas; nunca debe mostrarse como disponible sin una convocatoria abierta.</x:v>
      </x:c>
      <x:c r="G7" s="98"/>
      <x:c r="H7" s="98"/>
      <x:c r="I7" s="98"/>
      <x:c r="J7" s="99"/>
    </x:row>
    <x:row r="8">
      <x:c r="A8" s="93" t="str">
        <x:v>Convocatorias próximas</x:v>
      </x:c>
      <x:c r="B8" s="94" t="n">
        <x:f>COUNTIF(Convocatorias!I5:I39,"Próxima")</x:f>
        <x:v>4</x:v>
      </x:c>
      <x:c r="C8" s="95" t="str">
        <x:v>Con fecha anunciada posterior a la revisión</x:v>
      </x:c>
      <x:c r="D8" s="96" t="str">
        <x:v>Permitir preparación y alertas</x:v>
      </x:c>
      <x:c r="E8" s="83"/>
      <x:c r="F8" s="97" t="str">
        <x:v>Los montos y requisitos son orientativos. Las bases de cada convocatoria mandan.</x:v>
      </x:c>
      <x:c r="G8" s="98"/>
      <x:c r="H8" s="98"/>
      <x:c r="I8" s="98"/>
      <x:c r="J8" s="99"/>
    </x:row>
    <x:row r="9">
      <x:c r="A9" s="93" t="str">
        <x:v>Instrumentos prioridad alta</x:v>
      </x:c>
      <x:c r="B9" s="94" t="n">
        <x:f>COUNTIF(Instrumentos!S5:S75,"Alta")</x:f>
        <x:v>30</x:v>
      </x:c>
      <x:c r="C9" s="95" t="str">
        <x:v>Alineados con idea, informalidad, baja escala o incubación</x:v>
      </x:c>
      <x:c r="D9" s="96" t="str">
        <x:v>Priorizar en los resultados</x:v>
      </x:c>
      <x:c r="E9" s="83"/>
      <x:c r="F9" s="97" t="str">
        <x:v>La prioridad MVP mide ajuste al público de Humm, no calidad ni tamaño del fondo.</x:v>
      </x:c>
      <x:c r="G9" s="98"/>
      <x:c r="H9" s="98"/>
      <x:c r="I9" s="98"/>
      <x:c r="J9" s="99"/>
    </x:row>
    <x:row r="10">
      <x:c r="A10" s="100" t="str">
        <x:v>Fecha de verificación</x:v>
      </x:c>
      <x:c r="B10" s="101" t="n">
        <x:v>46262</x:v>
      </x:c>
      <x:c r="C10" s="102" t="str">
        <x:v>La vigencia cambia; debe mostrarse al usuario</x:v>
      </x:c>
      <x:c r="D10" s="103" t="str">
        <x:v>Campo obligatorio en cada resultado</x:v>
      </x:c>
      <x:c r="E10" s="83"/>
      <x:c r="F10" s="104" t="str">
        <x:v>No se recopilan RUT, claves, deuda ni datos bancarios en esta base.</x:v>
      </x:c>
      <x:c r="G10" s="105"/>
      <x:c r="H10" s="105"/>
      <x:c r="I10" s="105"/>
      <x:c r="J10" s="106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</x:row>
    <x:row r="13">
      <x:c r="A13" s="85" t="str">
        <x:v>Decisión estructural para desarrollo</x:v>
      </x:c>
      <x:c r="B13" s="85"/>
      <x:c r="C13" s="85"/>
      <x:c r="D13" s="85"/>
      <x:c r="E13" s="85"/>
      <x:c r="F13" s="85"/>
      <x:c r="G13" s="85"/>
      <x:c r="H13" s="85"/>
      <x:c r="I13" s="85"/>
      <x:c r="J13" s="85"/>
    </x:row>
    <x:row r="14">
      <x:c r="A14" s="107" t="str">
        <x:v>Entidad</x:v>
      </x:c>
      <x:c r="B14" s="108" t="str">
        <x:v>administra</x:v>
      </x:c>
      <x:c r="C14" s="108" t="str">
        <x:v>Instrumento</x:v>
      </x:c>
      <x:c r="D14" s="108" t="str">
        <x:v>abre una o más</x:v>
      </x:c>
      <x:c r="E14" s="108" t="str">
        <x:v>Convocatorias</x:v>
      </x:c>
      <x:c r="F14" s="108" t="str">
        <x:v>con fechas y territorio</x:v>
      </x:c>
      <x:c r="G14" s="108" t="str">
        <x:v>Resultado al usuario</x:v>
      </x:c>
      <x:c r="H14" s="108" t="str">
        <x:v>Compatibilidad + estado + siguiente paso</x:v>
      </x:c>
      <x:c r="I14" s="108" t="str"/>
      <x:c r="J14" s="109" t="str"/>
    </x:row>
    <x:row r="15">
      <x:c r="A15" s="110" t="str">
        <x:v>Ejemplo</x:v>
      </x:c>
      <x:c r="B15" s="111" t="str">
        <x:v>Sercotec</x:v>
      </x:c>
      <x:c r="C15" s="111" t="str">
        <x:v>Capital Semilla Modo Empleo</x:v>
      </x:c>
      <x:c r="D15" s="111" t="str">
        <x:v>Los Ríos / Los Lagos / Aysén / Magallanes</x:v>
      </x:c>
      <x:c r="E15" s="111" t="str">
        <x:v>Cierres regionales</x:v>
      </x:c>
      <x:c r="F15" s="111" t="str">
        <x:v>08-09-2026</x:v>
      </x:c>
      <x:c r="G15" s="111" t="str">
        <x:v>Mostrar solo región compatible</x:v>
      </x:c>
      <x:c r="H15" s="111" t="str">
        <x:v>Explicar aporte y condición laboral</x:v>
      </x:c>
      <x:c r="I15" s="111" t="str"/>
      <x:c r="J15" s="112" t="str"/>
    </x:row>
    <x:row r="16">
      <x:c r="A16" s="93" t="str">
        <x:v>Regla 1</x:v>
      </x:c>
      <x:c r="B16" s="95" t="str">
        <x:v>Nunca inferir vigencia desde el nombre del programa.</x:v>
      </x:c>
      <x:c r="C16" s="95" t="str"/>
      <x:c r="D16" s="95" t="str"/>
      <x:c r="E16" s="95" t="str"/>
      <x:c r="F16" s="95" t="str"/>
      <x:c r="G16" s="95" t="str"/>
      <x:c r="H16" s="95" t="str"/>
      <x:c r="I16" s="95" t="str"/>
      <x:c r="J16" s="96" t="str"/>
    </x:row>
    <x:row r="17">
      <x:c r="A17" s="100" t="str">
        <x:v>Regla 2</x:v>
      </x:c>
      <x:c r="B17" s="102" t="str">
        <x:v>Cada recomendación debe conservar URL oficial y fecha de verificación.</x:v>
      </x:c>
      <x:c r="C17" s="102" t="str"/>
      <x:c r="D17" s="102" t="str"/>
      <x:c r="E17" s="102" t="str"/>
      <x:c r="F17" s="102" t="str"/>
      <x:c r="G17" s="102" t="str"/>
      <x:c r="H17" s="102" t="str"/>
      <x:c r="I17" s="102" t="str"/>
      <x:c r="J17" s="103" t="str"/>
    </x:row>
  </x:sheetData>
  <x:mergeCells>
    <x:mergeCell ref="A1:J1"/>
    <x:mergeCell ref="A2:J2"/>
    <x:mergeCell ref="F4:J4"/>
    <x:mergeCell ref="F5:J5"/>
    <x:mergeCell ref="F6:J6"/>
    <x:mergeCell ref="F7:J7"/>
    <x:mergeCell ref="F8:J8"/>
    <x:mergeCell ref="F9:J9"/>
    <x:mergeCell ref="F10:J10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30" hidden="0" customWidth="1"/>
    <x:col min="5" max="5" width="30" hidden="0" customWidth="1"/>
    <x:col min="6" max="6" width="24" hidden="0" customWidth="1"/>
    <x:col min="7" max="7" width="18" hidden="0" customWidth="1"/>
    <x:col min="8" max="8" width="18" hidden="0" customWidth="1"/>
    <x:col min="9" max="9" width="42" hidden="0" customWidth="1"/>
    <x:col min="10" max="10" width="38" hidden="0" customWidth="1"/>
  </x:cols>
  <x:sheetData>
    <x:row r="1" ht="34" customHeight="1">
      <x:c r="A1" s="81" t="str">
        <x:v>Entidades administradoras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32" customHeight="1">
      <x:c r="A2" s="82" t="str">
        <x:v>Un registro por entidad; el conteo de instrumentos se calcula desde la hoja Instrumentos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8" customHeight="1">
      <x:c r="A4" s="84" t="str">
        <x:v>Entidad ID</x:v>
      </x:c>
      <x:c r="B4" s="84" t="str">
        <x:v>Entidad</x:v>
      </x:c>
      <x:c r="C4" s="84" t="str">
        <x:v>Tipo</x:v>
      </x:c>
      <x:c r="D4" s="84" t="str">
        <x:v>Alcance</x:v>
      </x:c>
      <x:c r="E4" s="84" t="str">
        <x:v>Población foco</x:v>
      </x:c>
      <x:c r="F4" s="84" t="str">
        <x:v>Portal</x:v>
      </x:c>
      <x:c r="G4" s="84" t="str">
        <x:v>Instrumentos registrados</x:v>
      </x:c>
      <x:c r="H4" s="84" t="str">
        <x:v>Frecuencia revisión</x:v>
      </x:c>
      <x:c r="I4" s="84" t="str">
        <x:v>URL oficial</x:v>
      </x:c>
      <x:c r="J4" s="84" t="str">
        <x:v>Notas</x:v>
      </x:c>
    </x:row>
    <x:row r="5">
      <x:c r="A5" s="86" t="str">
        <x:v>ENT-001</x:v>
      </x:c>
      <x:c r="B5" s="88" t="str">
        <x:v>FOSIS</x:v>
      </x:c>
      <x:c r="C5" s="88" t="str">
        <x:v>Pública</x:v>
      </x:c>
      <x:c r="D5" s="88" t="str">
        <x:v>Nacional con ejecución regional</x:v>
      </x:c>
      <x:c r="E5" s="88" t="str">
        <x:v>Personas vulnerables; emprendimientos iniciales y en funcionamiento</x:v>
      </x:c>
      <x:c r="F5" s="88" t="str">
        <x:v>Portal de postulaciones</x:v>
      </x:c>
      <x:c r="G5" s="113" t="n">
        <x:f>COUNTIF(Instrumentos!$B$5:$B$75,B5)</x:f>
        <x:v>4</x:v>
      </x:c>
      <x:c r="H5" s="88" t="str">
        <x:v>Mensual en temporada</x:v>
      </x:c>
      <x:c r="I5" s="88" t="str">
        <x:v>https://www.fosis.gob.cl/es/postulaciones/</x:v>
      </x:c>
      <x:c r="J5" s="89" t="str">
        <x:v>Revisar aperturas territoriales y requisitos RSH</x:v>
      </x:c>
    </x:row>
    <x:row r="6">
      <x:c r="A6" s="93" t="str">
        <x:v>ENT-002</x:v>
      </x:c>
      <x:c r="B6" s="95" t="str">
        <x:v>Sercotec</x:v>
      </x:c>
      <x:c r="C6" s="95" t="str">
        <x:v>Pública</x:v>
      </x:c>
      <x:c r="D6" s="95" t="str">
        <x:v>Nacional y regional</x:v>
      </x:c>
      <x:c r="E6" s="95" t="str">
        <x:v>Emprendedores sin inicio de actividades y micro/pequeñas empresas</x:v>
      </x:c>
      <x:c r="F6" s="95" t="str">
        <x:v>Calendario de convocatorias</x:v>
      </x:c>
      <x:c r="G6" s="114" t="n">
        <x:f>COUNTIF(Instrumentos!$B$5:$B$75,B6)</x:f>
        <x:v>14</x:v>
      </x:c>
      <x:c r="H6" s="95" t="str">
        <x:v>Semanal</x:v>
      </x:c>
      <x:c r="I6" s="95" t="str">
        <x:v>https://widgetsercotec.sercotec.cl/Calendario</x:v>
      </x:c>
      <x:c r="J6" s="96" t="str">
        <x:v>Fuente prioritaria para el MVP</x:v>
      </x:c>
    </x:row>
    <x:row r="7">
      <x:c r="A7" s="93" t="str">
        <x:v>ENT-003</x:v>
      </x:c>
      <x:c r="B7" s="95" t="str">
        <x:v>Corfo</x:v>
      </x:c>
      <x:c r="C7" s="95" t="str">
        <x:v>Pública</x:v>
      </x:c>
      <x:c r="D7" s="95" t="str">
        <x:v>Nacional y regional</x:v>
      </x:c>
      <x:c r="E7" s="95" t="str">
        <x:v>Emprendimientos innovadores y empresas con potencial de crecimiento</x:v>
      </x:c>
      <x:c r="F7" s="95" t="str">
        <x:v>Programas y convocatorias</x:v>
      </x:c>
      <x:c r="G7" s="114" t="n">
        <x:f>COUNTIF(Instrumentos!$B$5:$B$75,B7)</x:f>
        <x:v>7</x:v>
      </x:c>
      <x:c r="H7" s="95" t="str">
        <x:v>Semanal</x:v>
      </x:c>
      <x:c r="I7" s="95" t="str">
        <x:v>https://www.corfo.gob.cl/sites/cpp/convocatorias</x:v>
      </x:c>
      <x:c r="J7" s="96" t="str">
        <x:v>Distinguir innovación de negocio tradicional</x:v>
      </x:c>
    </x:row>
    <x:row r="8">
      <x:c r="A8" s="93" t="str">
        <x:v>ENT-004</x:v>
      </x:c>
      <x:c r="B8" s="95" t="str">
        <x:v>Start-Up Chile / Corfo</x:v>
      </x:c>
      <x:c r="C8" s="95" t="str">
        <x:v>Pública</x:v>
      </x:c>
      <x:c r="D8" s="95" t="str">
        <x:v>Nacional; admite personas extranjeras según bases</x:v>
      </x:c>
      <x:c r="E8" s="95" t="str">
        <x:v>Startups tecnológicas escalables</x:v>
      </x:c>
      <x:c r="F8" s="95" t="str">
        <x:v>Convocatorias BIG</x:v>
      </x:c>
      <x:c r="G8" s="114" t="n">
        <x:f>COUNTIF(Instrumentos!$B$5:$B$75,B8)</x:f>
        <x:v>3</x:v>
      </x:c>
      <x:c r="H8" s="95" t="str">
        <x:v>Mensual</x:v>
      </x:c>
      <x:c r="I8" s="95" t="str">
        <x:v>https://startupchile.org/</x:v>
      </x:c>
      <x:c r="J8" s="96" t="str">
        <x:v>Financiamiento equity-free; exigencia de innovación y escalabilidad</x:v>
      </x:c>
    </x:row>
    <x:row r="9">
      <x:c r="A9" s="93" t="str">
        <x:v>ENT-005</x:v>
      </x:c>
      <x:c r="B9" s="95" t="str">
        <x:v>INDAP</x:v>
      </x:c>
      <x:c r="C9" s="95" t="str">
        <x:v>Pública</x:v>
      </x:c>
      <x:c r="D9" s="95" t="str">
        <x:v>Rural; ejecución regional</x:v>
      </x:c>
      <x:c r="E9" s="95" t="str">
        <x:v>Agricultura familiar campesina y usuarios INDAP</x:v>
      </x:c>
      <x:c r="F9" s="95" t="str">
        <x:v>Servicios y llamados regionales</x:v>
      </x:c>
      <x:c r="G9" s="114" t="n">
        <x:f>COUNTIF(Instrumentos!$B$5:$B$75,B9)</x:f>
        <x:v>8</x:v>
      </x:c>
      <x:c r="H9" s="95" t="str">
        <x:v>Mensual</x:v>
      </x:c>
      <x:c r="I9" s="95" t="str">
        <x:v>https://www.indap.gob.cl/</x:v>
      </x:c>
      <x:c r="J9" s="96" t="str">
        <x:v>Muchos apoyos requieren acreditación como usuario INDAP</x:v>
      </x:c>
    </x:row>
    <x:row r="10">
      <x:c r="A10" s="93" t="str">
        <x:v>ENT-006</x:v>
      </x:c>
      <x:c r="B10" s="95" t="str">
        <x:v>CONADI</x:v>
      </x:c>
      <x:c r="C10" s="95" t="str">
        <x:v>Pública</x:v>
      </x:c>
      <x:c r="D10" s="95" t="str">
        <x:v>Nacional con concursos regionales</x:v>
      </x:c>
      <x:c r="E10" s="95" t="str">
        <x:v>Personas, emprendimientos y organizaciones indígenas</x:v>
      </x:c>
      <x:c r="F10" s="95" t="str">
        <x:v>Portal de concursos y trámites</x:v>
      </x:c>
      <x:c r="G10" s="114" t="n">
        <x:f>COUNTIF(Instrumentos!$B$5:$B$75,B10)</x:f>
        <x:v>3</x:v>
      </x:c>
      <x:c r="H10" s="95" t="str">
        <x:v>Mensual</x:v>
      </x:c>
      <x:c r="I10" s="95" t="str">
        <x:v>https://www.conadi.gob.cl/concursos-publicos</x:v>
      </x:c>
      <x:c r="J10" s="96" t="str">
        <x:v>Requiere acreditar calidad indígena en varias líneas</x:v>
      </x:c>
    </x:row>
    <x:row r="11">
      <x:c r="A11" s="93" t="str">
        <x:v>ENT-007</x:v>
      </x:c>
      <x:c r="B11" s="95" t="str">
        <x:v>ProChile</x:v>
      </x:c>
      <x:c r="C11" s="95" t="str">
        <x:v>Pública</x:v>
      </x:c>
      <x:c r="D11" s="95" t="str">
        <x:v>Nacional</x:v>
      </x:c>
      <x:c r="E11" s="95" t="str">
        <x:v>Empresas exportadoras o con potencial exportador</x:v>
      </x:c>
      <x:c r="F11" s="95" t="str">
        <x:v>Concursos sectoriales</x:v>
      </x:c>
      <x:c r="G11" s="114" t="n">
        <x:f>COUNTIF(Instrumentos!$B$5:$B$75,B11)</x:f>
        <x:v>3</x:v>
      </x:c>
      <x:c r="H11" s="95" t="str">
        <x:v>Anual</x:v>
      </x:c>
      <x:c r="I11" s="95" t="str">
        <x:v>https://www.prochile.gob.cl/herramientas/concursos</x:v>
      </x:c>
      <x:c r="J11" s="96" t="str">
        <x:v>Baja prioridad para etapa idea</x:v>
      </x:c>
    </x:row>
    <x:row r="12">
      <x:c r="A12" s="93" t="str">
        <x:v>ENT-008</x:v>
      </x:c>
      <x:c r="B12" s="95" t="str">
        <x:v>FIA</x:v>
      </x:c>
      <x:c r="C12" s="95" t="str">
        <x:v>Pública</x:v>
      </x:c>
      <x:c r="D12" s="95" t="str">
        <x:v>Nacional</x:v>
      </x:c>
      <x:c r="E12" s="95" t="str">
        <x:v>Innovación en agricultura, alimentos y silvicultura</x:v>
      </x:c>
      <x:c r="F12" s="95" t="str">
        <x:v>Convocatorias</x:v>
      </x:c>
      <x:c r="G12" s="114" t="n">
        <x:f>COUNTIF(Instrumentos!$B$5:$B$75,B12)</x:f>
        <x:v>5</x:v>
      </x:c>
      <x:c r="H12" s="95" t="str">
        <x:v>Semanal</x:v>
      </x:c>
      <x:c r="I12" s="95" t="str">
        <x:v>https://www.fia.cl/convocatorias/</x:v>
      </x:c>
      <x:c r="J12" s="96" t="str">
        <x:v>Exige proyecto de innovación y cofinanciamiento</x:v>
      </x:c>
    </x:row>
    <x:row r="13">
      <x:c r="A13" s="93" t="str">
        <x:v>ENT-009</x:v>
      </x:c>
      <x:c r="B13" s="95" t="str">
        <x:v>ANID</x:v>
      </x:c>
      <x:c r="C13" s="95" t="str">
        <x:v>Pública</x:v>
      </x:c>
      <x:c r="D13" s="95" t="str">
        <x:v>Nacional</x:v>
      </x:c>
      <x:c r="E13" s="95" t="str">
        <x:v>Empresas de base científico-tecnológica e I+D</x:v>
      </x:c>
      <x:c r="F13" s="95" t="str">
        <x:v>Concursos ANID</x:v>
      </x:c>
      <x:c r="G13" s="114" t="n">
        <x:f>COUNTIF(Instrumentos!$B$5:$B$75,B13)</x:f>
        <x:v>1</x:v>
      </x:c>
      <x:c r="H13" s="95" t="str">
        <x:v>Mensual</x:v>
      </x:c>
      <x:c r="I13" s="95" t="str">
        <x:v>https://www.anid.cl/concursos/</x:v>
      </x:c>
      <x:c r="J13" s="96" t="str">
        <x:v>Startup Ciencia no presenta convocatoria 2026 verificada en esta revisión</x:v>
      </x:c>
    </x:row>
    <x:row r="14">
      <x:c r="A14" s="93" t="str">
        <x:v>ENT-010</x:v>
      </x:c>
      <x:c r="B14" s="95" t="str">
        <x:v>INDESPA</x:v>
      </x:c>
      <x:c r="C14" s="95" t="str">
        <x:v>Pública</x:v>
      </x:c>
      <x:c r="D14" s="95" t="str">
        <x:v>Nacional y regional</x:v>
      </x:c>
      <x:c r="E14" s="95" t="str">
        <x:v>Pesca artesanal y acuicultura de pequeña escala</x:v>
      </x:c>
      <x:c r="F14" s="95" t="str">
        <x:v>Buscador de concursos</x:v>
      </x:c>
      <x:c r="G14" s="114" t="n">
        <x:f>COUNTIF(Instrumentos!$B$5:$B$75,B14)</x:f>
        <x:v>4</x:v>
      </x:c>
      <x:c r="H14" s="95" t="str">
        <x:v>Semanal</x:v>
      </x:c>
      <x:c r="I14" s="95" t="str">
        <x:v>https://www.indespa.cl/concursos/</x:v>
      </x:c>
      <x:c r="J14" s="96" t="str">
        <x:v>Algunas líneas entregan bienes o servicios en especie</x:v>
      </x:c>
    </x:row>
    <x:row r="15">
      <x:c r="A15" s="93" t="str">
        <x:v>ENT-011</x:v>
      </x:c>
      <x:c r="B15" s="95" t="str">
        <x:v>Ministerio de las Culturas</x:v>
      </x:c>
      <x:c r="C15" s="95" t="str">
        <x:v>Pública</x:v>
      </x:c>
      <x:c r="D15" s="95" t="str">
        <x:v>Nacional y regional</x:v>
      </x:c>
      <x:c r="E15" s="95" t="str">
        <x:v>Personas y organizaciones de sectores creativos y culturales</x:v>
      </x:c>
      <x:c r="F15" s="95" t="str">
        <x:v>Fondos Cultura</x:v>
      </x:c>
      <x:c r="G15" s="114" t="n">
        <x:f>COUNTIF(Instrumentos!$B$5:$B$75,B15)</x:f>
        <x:v>7</x:v>
      </x:c>
      <x:c r="H15" s="95" t="str">
        <x:v>Semanal en temporada</x:v>
      </x:c>
      <x:c r="I15" s="95" t="str">
        <x:v>https://www.fondosdecultura.cl/</x:v>
      </x:c>
      <x:c r="J15" s="96" t="str">
        <x:v>Montos y elegibilidad cambian por línea</x:v>
      </x:c>
    </x:row>
    <x:row r="16">
      <x:c r="A16" s="93" t="str">
        <x:v>ENT-012</x:v>
      </x:c>
      <x:c r="B16" s="95" t="str">
        <x:v>Comisión Nacional de Riego (CNR)</x:v>
      </x:c>
      <x:c r="C16" s="95" t="str">
        <x:v>Pública</x:v>
      </x:c>
      <x:c r="D16" s="95" t="str">
        <x:v>Nacional y regional</x:v>
      </x:c>
      <x:c r="E16" s="95" t="str">
        <x:v>Agricultores y organizaciones de regantes</x:v>
      </x:c>
      <x:c r="F16" s="95" t="str">
        <x:v>Calendario Ley 18.450</x:v>
      </x:c>
      <x:c r="G16" s="114" t="n">
        <x:f>COUNTIF(Instrumentos!$B$5:$B$75,B16)</x:f>
        <x:v>2</x:v>
      </x:c>
      <x:c r="H16" s="95" t="str">
        <x:v>Mensual</x:v>
      </x:c>
      <x:c r="I16" s="95" t="str">
        <x:v>https://www.cnr.gob.cl/agricultores/calendario-de-concurso/</x:v>
      </x:c>
      <x:c r="J16" s="96" t="str">
        <x:v>Bonificación contra proyecto de riego; normalmente requiere consultor</x:v>
      </x:c>
    </x:row>
    <x:row r="17">
      <x:c r="A17" s="93" t="str">
        <x:v>ENT-013</x:v>
      </x:c>
      <x:c r="B17" s="95" t="str">
        <x:v>CONAF</x:v>
      </x:c>
      <x:c r="C17" s="95" t="str">
        <x:v>Pública</x:v>
      </x:c>
      <x:c r="D17" s="95" t="str">
        <x:v>Nacional</x:v>
      </x:c>
      <x:c r="E17" s="95" t="str">
        <x:v>Propietarios de predios con bosque nativo</x:v>
      </x:c>
      <x:c r="F17" s="95" t="str">
        <x:v>Concurso Ley Bosque Nativo</x:v>
      </x:c>
      <x:c r="G17" s="114" t="n">
        <x:f>COUNTIF(Instrumentos!$B$5:$B$75,B17)</x:f>
        <x:v>1</x:v>
      </x:c>
      <x:c r="H17" s="95" t="str">
        <x:v>Anual</x:v>
      </x:c>
      <x:c r="I17" s="95" t="str">
        <x:v>https://concursolbn.conaf.cl/</x:v>
      </x:c>
      <x:c r="J17" s="96" t="str">
        <x:v>Bonifica actividades definidas en plan de manejo</x:v>
      </x:c>
    </x:row>
    <x:row r="18">
      <x:c r="A18" s="93" t="str">
        <x:v>ENT-014</x:v>
      </x:c>
      <x:c r="B18" s="95" t="str">
        <x:v>Fundación Luksic</x:v>
      </x:c>
      <x:c r="C18" s="95" t="str">
        <x:v>Fundación</x:v>
      </x:c>
      <x:c r="D18" s="95" t="str">
        <x:v>Nacional</x:v>
      </x:c>
      <x:c r="E18" s="95" t="str">
        <x:v>Micro y pequeñas empresas</x:v>
      </x:c>
      <x:c r="F18" s="95" t="str">
        <x:v>Convocatorias de emprendimiento</x:v>
      </x:c>
      <x:c r="G18" s="114" t="n">
        <x:f>COUNTIF(Instrumentos!$B$5:$B$75,B18)</x:f>
        <x:v>2</x:v>
      </x:c>
      <x:c r="H18" s="95" t="str">
        <x:v>Anual</x:v>
      </x:c>
      <x:c r="I18" s="95" t="str">
        <x:v>https://fundacionluksic.cl/noticias/proximas-convocatorias/</x:v>
      </x:c>
      <x:c r="J18" s="96" t="str">
        <x:v>Impulso Chileno abre en septiembre de 2026</x:v>
      </x:c>
    </x:row>
    <x:row r="19">
      <x:c r="A19" s="93" t="str">
        <x:v>ENT-015</x:v>
      </x:c>
      <x:c r="B19" s="95" t="str">
        <x:v>G100 / Nada Nos Detiene</x:v>
      </x:c>
      <x:c r="C19" s="95" t="str">
        <x:v>Fundación / red</x:v>
      </x:c>
      <x:c r="D19" s="95" t="str">
        <x:v>Nacional y territorial</x:v>
      </x:c>
      <x:c r="E19" s="95" t="str">
        <x:v>Emprendedores con ventas o validación</x:v>
      </x:c>
      <x:c r="F19" s="95" t="str">
        <x:v>Campeonatos y convocatorias</x:v>
      </x:c>
      <x:c r="G19" s="114" t="n">
        <x:f>COUNTIF(Instrumentos!$B$5:$B$75,B19)</x:f>
        <x:v>2</x:v>
      </x:c>
      <x:c r="H19" s="95" t="str">
        <x:v>Semanal</x:v>
      </x:c>
      <x:c r="I19" s="95" t="str">
        <x:v>https://participa.nadanosdetiene.cl/</x:v>
      </x:c>
      <x:c r="J19" s="96" t="str">
        <x:v>Premios no reembolsables; condiciones dependen de aliado o territorio</x:v>
      </x:c>
    </x:row>
    <x:row r="20">
      <x:c r="A20" s="93" t="str">
        <x:v>ENT-016</x:v>
      </x:c>
      <x:c r="B20" s="95" t="str">
        <x:v>Banco de Chile</x:v>
      </x:c>
      <x:c r="C20" s="95" t="str">
        <x:v>Privada</x:v>
      </x:c>
      <x:c r="D20" s="95" t="str">
        <x:v>Nacional</x:v>
      </x:c>
      <x:c r="E20" s="95" t="str">
        <x:v>Emprendimientos y pymes</x:v>
      </x:c>
      <x:c r="F20" s="95" t="str">
        <x:v>Desafío Emprendedor</x:v>
      </x:c>
      <x:c r="G20" s="114" t="n">
        <x:f>COUNTIF(Instrumentos!$B$5:$B$75,B20)</x:f>
        <x:v>1</x:v>
      </x:c>
      <x:c r="H20" s="95" t="str">
        <x:v>Anual</x:v>
      </x:c>
      <x:c r="I20" s="95" t="str">
        <x:v>https://desafioemprendedor.cl/</x:v>
      </x:c>
      <x:c r="J20" s="96" t="str">
        <x:v>Premios; ciclo 2026 finalizado</x:v>
      </x:c>
    </x:row>
    <x:row r="21">
      <x:c r="A21" s="93" t="str">
        <x:v>ENT-017</x:v>
      </x:c>
      <x:c r="B21" s="95" t="str">
        <x:v>Santander Chile</x:v>
      </x:c>
      <x:c r="C21" s="95" t="str">
        <x:v>Privada</x:v>
      </x:c>
      <x:c r="D21" s="95" t="str">
        <x:v>Nacional</x:v>
      </x:c>
      <x:c r="E21" s="95" t="str">
        <x:v>Startups, pymes y emprendimientos universitarios</x:v>
      </x:c>
      <x:c r="F21" s="95" t="str">
        <x:v>Santander X</x:v>
      </x:c>
      <x:c r="G21" s="114" t="n">
        <x:f>COUNTIF(Instrumentos!$B$5:$B$75,B21)</x:f>
        <x:v>1</x:v>
      </x:c>
      <x:c r="H21" s="95" t="str">
        <x:v>Anual</x:v>
      </x:c>
      <x:c r="I21" s="95" t="str">
        <x:v>https://www.santanderx.com/</x:v>
      </x:c>
      <x:c r="J21" s="96" t="str">
        <x:v>Premios y programas; revisar categoría exacta</x:v>
      </x:c>
    </x:row>
    <x:row r="22">
      <x:c r="A22" s="93" t="str">
        <x:v>ENT-018</x:v>
      </x:c>
      <x:c r="B22" s="95" t="str">
        <x:v>Caja Los Andes</x:v>
      </x:c>
      <x:c r="C22" s="95" t="str">
        <x:v>Privada</x:v>
      </x:c>
      <x:c r="D22" s="95" t="str">
        <x:v>Nacional</x:v>
      </x:c>
      <x:c r="E22" s="95" t="str">
        <x:v>Emprendimientos con impacto social/ambiental</x:v>
      </x:c>
      <x:c r="F22" s="95" t="str">
        <x:v>TECLA</x:v>
      </x:c>
      <x:c r="G22" s="114" t="n">
        <x:f>COUNTIF(Instrumentos!$B$5:$B$75,B22)</x:f>
        <x:v>1</x:v>
      </x:c>
      <x:c r="H22" s="95" t="str">
        <x:v>Anual</x:v>
      </x:c>
      <x:c r="I22" s="95" t="str">
        <x:v>https://www.tecla.cl/</x:v>
      </x:c>
      <x:c r="J22" s="96" t="str">
        <x:v>Convocatoria 2026 no verificada</x:v>
      </x:c>
    </x:row>
    <x:row r="23">
      <x:c r="A23" s="93" t="str">
        <x:v>ENT-019</x:v>
      </x:c>
      <x:c r="B23" s="95" t="str">
        <x:v>Fundación Copec-UC</x:v>
      </x:c>
      <x:c r="C23" s="95" t="str">
        <x:v>Fundación</x:v>
      </x:c>
      <x:c r="D23" s="95" t="str">
        <x:v>Nacional</x:v>
      </x:c>
      <x:c r="E23" s="95" t="str">
        <x:v>Proyectos de I+D y startups tecnológicas</x:v>
      </x:c>
      <x:c r="F23" s="95" t="str">
        <x:v>I+D para Innovar</x:v>
      </x:c>
      <x:c r="G23" s="114" t="n">
        <x:f>COUNTIF(Instrumentos!$B$5:$B$75,B23)</x:f>
        <x:v>1</x:v>
      </x:c>
      <x:c r="H23" s="95" t="str">
        <x:v>Anual</x:v>
      </x:c>
      <x:c r="I23" s="95" t="str">
        <x:v>https://fundcopec-uc.cl/</x:v>
      </x:c>
      <x:c r="J23" s="96" t="str">
        <x:v>Alta sofisticación tecnológica; baja prioridad para negocio tradicional</x:v>
      </x:c>
    </x:row>
    <x:row r="24">
      <x:c r="A24" s="100" t="str">
        <x:v>ENT-020</x:v>
      </x:c>
      <x:c r="B24" s="102" t="str">
        <x:v>Ministerio de Energía</x:v>
      </x:c>
      <x:c r="C24" s="102" t="str">
        <x:v>Pública</x:v>
      </x:c>
      <x:c r="D24" s="102" t="str">
        <x:v>Nacional</x:v>
      </x:c>
      <x:c r="E24" s="102" t="str">
        <x:v>Empresas que invierten en eficiencia y renovables</x:v>
      </x:c>
      <x:c r="F24" s="102" t="str">
        <x:v>Programas de energía para empresas</x:v>
      </x:c>
      <x:c r="G24" s="115" t="n">
        <x:f>COUNTIF(Instrumentos!$B$5:$B$75,B24)</x:f>
        <x:v>1</x:v>
      </x:c>
      <x:c r="H24" s="102" t="str">
        <x:v>Irregular</x:v>
      </x:c>
      <x:c r="I24" s="102" t="str">
        <x:v>https://energia.gob.cl/</x:v>
      </x:c>
      <x:c r="J24" s="103" t="str">
        <x:v>Sin convocatoria 2026 verificada para la línea registrada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bda9518525e4a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4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2" hidden="0" customWidth="1"/>
    <x:col min="9" max="9" width="32" hidden="0" customWidth="1"/>
    <x:col min="10" max="10" width="24" hidden="0" customWidth="1"/>
    <x:col min="11" max="11" width="18" hidden="0" customWidth="1"/>
    <x:col min="12" max="12" width="18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22" hidden="0" customWidth="1"/>
    <x:col min="18" max="18" width="22" hidden="0" customWidth="1"/>
    <x:col min="19" max="19" width="22" hidden="0" customWidth="1"/>
    <x:col min="20" max="20" width="36" hidden="0" customWidth="1"/>
    <x:col min="21" max="21" width="36" hidden="0" customWidth="1"/>
    <x:col min="22" max="22" width="45" hidden="0" customWidth="1"/>
    <x:col min="23" max="23" width="16" hidden="0" customWidth="1"/>
    <x:col min="24" max="24" width="16" hidden="0" customWidth="1"/>
  </x:cols>
  <x:sheetData>
    <x:row r="1" ht="34" customHeight="1">
      <x:c r="A1" s="81" t="str">
        <x:v>Base maestra de instrumentos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</x:row>
    <x:row r="2" ht="32" customHeight="1">
      <x:c r="A2" s="82" t="str">
        <x:v>Filtrar por etapa, formalización, territorio, sector y prioridad. El estado observado no reemplaza la convocatoria.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</x:row>
    <x:row r="4" ht="38" customHeight="1">
      <x:c r="A4" s="84" t="str">
        <x:v>Instrumento ID</x:v>
      </x:c>
      <x:c r="B4" s="84" t="str">
        <x:v>Entidad</x:v>
      </x:c>
      <x:c r="C4" s="84" t="str">
        <x:v>Instrumento</x:v>
      </x:c>
      <x:c r="D4" s="84" t="str">
        <x:v>Tipo apoyo</x:v>
      </x:c>
      <x:c r="E4" s="84" t="str">
        <x:v>No reembolsable</x:v>
      </x:c>
      <x:c r="F4" s="84" t="str">
        <x:v>Etapas Humm</x:v>
      </x:c>
      <x:c r="G4" s="84" t="str">
        <x:v>Formalización objetivo</x:v>
      </x:c>
      <x:c r="H4" s="84" t="str">
        <x:v>Perfil postulante</x:v>
      </x:c>
      <x:c r="I4" s="84" t="str">
        <x:v>Alcance</x:v>
      </x:c>
      <x:c r="J4" s="84" t="str">
        <x:v>Sector</x:v>
      </x:c>
      <x:c r="K4" s="84" t="str">
        <x:v>Monto máx. CLP</x:v>
      </x:c>
      <x:c r="L4" s="84" t="str">
        <x:v>% cofinanciamiento público</x:v>
      </x:c>
      <x:c r="M4" s="84" t="str">
        <x:v>Aporte postulante</x:v>
      </x:c>
      <x:c r="N4" s="84" t="str">
        <x:v>Qué financia</x:v>
      </x:c>
      <x:c r="O4" s="84" t="str">
        <x:v>Requisitos clave</x:v>
      </x:c>
      <x:c r="P4" s="84" t="str">
        <x:v>Exclusiones/alertas</x:v>
      </x:c>
      <x:c r="Q4" s="84" t="str">
        <x:v>Periodicidad</x:v>
      </x:c>
      <x:c r="R4" s="84" t="str">
        <x:v>Estado observado</x:v>
      </x:c>
      <x:c r="S4" s="84" t="str">
        <x:v>Prioridad MVP</x:v>
      </x:c>
      <x:c r="T4" s="84" t="str">
        <x:v>Compatible cuando</x:v>
      </x:c>
      <x:c r="U4" s="84" t="str">
        <x:v>Siguiente paso</x:v>
      </x:c>
      <x:c r="V4" s="84" t="str">
        <x:v>URL oficial</x:v>
      </x:c>
      <x:c r="W4" s="84" t="str">
        <x:v>Verificado</x:v>
      </x:c>
      <x:c r="X4" s="84" t="str">
        <x:v>Confianza</x:v>
      </x:c>
    </x:row>
    <x:row r="5">
      <x:c r="A5" s="86" t="str">
        <x:v>INS-001</x:v>
      </x:c>
      <x:c r="B5" s="88" t="str">
        <x:v>FOSIS</x:v>
      </x:c>
      <x:c r="C5" s="88" t="str">
        <x:v>Emprendamos Semilla</x:v>
      </x:c>
      <x:c r="D5" s="88" t="str">
        <x:v>Subsidio</x:v>
      </x:c>
      <x:c r="E5" s="88" t="str">
        <x:v>Sí</x:v>
      </x:c>
      <x:c r="F5" s="88" t="str">
        <x:v>Idea; ventas informales</x:v>
      </x:c>
      <x:c r="G5" s="88" t="str">
        <x:v>Sin exigencia general de formalización al ingreso</x:v>
      </x:c>
      <x:c r="H5" s="88" t="str">
        <x:v>Personas mayores de 18 años dentro del tramo RSH definido</x:v>
      </x:c>
      <x:c r="I5" s="88" t="str">
        <x:v>Nacional / regional</x:v>
      </x:c>
      <x:c r="J5" s="88" t="str">
        <x:v>Multisectorial</x:v>
      </x:c>
      <x:c r="K5" s="116" t="n">
        <x:v>700000</x:v>
      </x:c>
      <x:c r="L5" s="117"/>
      <x:c r="M5" s="88" t="str">
        <x:v>Variable</x:v>
      </x:c>
      <x:c r="N5" s="88" t="str">
        <x:v>Capacitación, asesoría y capital inicial</x:v>
      </x:c>
      <x:c r="O5" s="88" t="str">
        <x:v>RSH y residencia en territorio con convocatoria</x:v>
      </x:c>
      <x:c r="P5" s="88" t="str">
        <x:v>Tramo RSH o territorio incompatible</x:v>
      </x:c>
      <x:c r="Q5" s="88" t="str">
        <x:v>Anual o regional</x:v>
      </x:c>
      <x:c r="R5" s="88" t="str">
        <x:v>Ciclo general 2026 cerrado; aperturas especiales posibles</x:v>
      </x:c>
      <x:c r="S5" s="88" t="str">
        <x:v>Alta</x:v>
      </x:c>
      <x:c r="T5" s="88" t="str">
        <x:v>Idea o actividad informal con vulnerabilidad socioeconómica</x:v>
      </x:c>
      <x:c r="U5" s="88" t="str">
        <x:v>Revisar próxima convocatoria oficial</x:v>
      </x:c>
      <x:c r="V5" s="88" t="str">
        <x:v>https://www.fosis.gob.cl/es/programas/autonomia-economica/</x:v>
      </x:c>
      <x:c r="W5" s="118" t="str">
        <x:v>2026-08-28</x:v>
      </x:c>
      <x:c r="X5" s="89" t="str">
        <x:v>Media</x:v>
      </x:c>
    </x:row>
    <x:row r="6">
      <x:c r="A6" s="93" t="str">
        <x:v>INS-002</x:v>
      </x:c>
      <x:c r="B6" s="95" t="str">
        <x:v>FOSIS</x:v>
      </x:c>
      <x:c r="C6" s="95" t="str">
        <x:v>Emprendamos Básico</x:v>
      </x:c>
      <x:c r="D6" s="95" t="str">
        <x:v>Subsidio</x:v>
      </x:c>
      <x:c r="E6" s="95" t="str">
        <x:v>Sí</x:v>
      </x:c>
      <x:c r="F6" s="95" t="str">
        <x:v>Ventas formales baja escala</x:v>
      </x:c>
      <x:c r="G6" s="95" t="str">
        <x:v>Inicio de actividades SII</x:v>
      </x:c>
      <x:c r="H6" s="95" t="str">
        <x:v>Negocio en funcionamiento y persona en tramo RSH definido</x:v>
      </x:c>
      <x:c r="I6" s="95" t="str">
        <x:v>Nacional / regional</x:v>
      </x:c>
      <x:c r="J6" s="95" t="str">
        <x:v>Multisectorial</x:v>
      </x:c>
      <x:c r="K6" s="119" t="n">
        <x:v>700000</x:v>
      </x:c>
      <x:c r="L6" s="120"/>
      <x:c r="M6" s="95" t="str">
        <x:v>Según bases</x:v>
      </x:c>
      <x:c r="N6" s="95" t="str">
        <x:v>Capacitación, asesoría y activos/capital</x:v>
      </x:c>
      <x:c r="O6" s="95" t="str">
        <x:v>Ventas mínimas y requisitos regionales</x:v>
      </x:c>
      <x:c r="P6" s="95" t="str">
        <x:v>Admisibilidad depende de la convocatoria</x:v>
      </x:c>
      <x:c r="Q6" s="95" t="str">
        <x:v>Anual o regional</x:v>
      </x:c>
      <x:c r="R6" s="95" t="str">
        <x:v>Ciclo 2026 cerrado</x:v>
      </x:c>
      <x:c r="S6" s="95" t="str">
        <x:v>Alta</x:v>
      </x:c>
      <x:c r="T6" s="95" t="str">
        <x:v>Negocio formal pequeño que necesita fortalecer operación</x:v>
      </x:c>
      <x:c r="U6" s="95" t="str">
        <x:v>Revisar próxima convocatoria oficial</x:v>
      </x:c>
      <x:c r="V6" s="95" t="str">
        <x:v>https://www.fosis.gob.cl/es/programas/autonomia-economica/emprendamos/</x:v>
      </x:c>
      <x:c r="W6" s="121" t="str">
        <x:v>2026-08-28</x:v>
      </x:c>
      <x:c r="X6" s="96" t="str">
        <x:v>Media</x:v>
      </x:c>
    </x:row>
    <x:row r="7">
      <x:c r="A7" s="93" t="str">
        <x:v>INS-003</x:v>
      </x:c>
      <x:c r="B7" s="95" t="str">
        <x:v>FOSIS</x:v>
      </x:c>
      <x:c r="C7" s="95" t="str">
        <x:v>Emprendamos Avanzado</x:v>
      </x:c>
      <x:c r="D7" s="95" t="str">
        <x:v>Subsidio</x:v>
      </x:c>
      <x:c r="E7" s="95" t="str">
        <x:v>Sí</x:v>
      </x:c>
      <x:c r="F7" s="95" t="str">
        <x:v>Ventas formales baja escala</x:v>
      </x:c>
      <x:c r="G7" s="95" t="str">
        <x:v>Inicio de actividades SII</x:v>
      </x:c>
      <x:c r="H7" s="95" t="str">
        <x:v>Negocio formal con trayectoria</x:v>
      </x:c>
      <x:c r="I7" s="95" t="str">
        <x:v>Nacional / regional</x:v>
      </x:c>
      <x:c r="J7" s="95" t="str">
        <x:v>Multisectorial</x:v>
      </x:c>
      <x:c r="K7" s="119" t="n">
        <x:v>700000</x:v>
      </x:c>
      <x:c r="L7" s="120"/>
      <x:c r="M7" s="95" t="str">
        <x:v>Según bases</x:v>
      </x:c>
      <x:c r="N7" s="95" t="str">
        <x:v>Asesoría y financiamiento productivo</x:v>
      </x:c>
      <x:c r="O7" s="95" t="str">
        <x:v>Nivel de ventas y RSH según convocatoria</x:v>
      </x:c>
      <x:c r="P7" s="95" t="str">
        <x:v>Admisibilidad depende de la convocatoria</x:v>
      </x:c>
      <x:c r="Q7" s="95" t="str">
        <x:v>Anual o regional</x:v>
      </x:c>
      <x:c r="R7" s="95" t="str">
        <x:v>Ciclo 2026 cerrado</x:v>
      </x:c>
      <x:c r="S7" s="95" t="str">
        <x:v>Media</x:v>
      </x:c>
      <x:c r="T7" s="95" t="str">
        <x:v>Microemprendimiento formal que ya superó nivel básico</x:v>
      </x:c>
      <x:c r="U7" s="95" t="str">
        <x:v>Revisar próxima convocatoria oficial</x:v>
      </x:c>
      <x:c r="V7" s="95" t="str">
        <x:v>https://www.fosis.gob.cl/es/programas/autonomia-economica/emprendamos/</x:v>
      </x:c>
      <x:c r="W7" s="121" t="str">
        <x:v>2026-08-28</x:v>
      </x:c>
      <x:c r="X7" s="96" t="str">
        <x:v>Media</x:v>
      </x:c>
    </x:row>
    <x:row r="8">
      <x:c r="A8" s="93" t="str">
        <x:v>INS-004</x:v>
      </x:c>
      <x:c r="B8" s="95" t="str">
        <x:v>FOSIS</x:v>
      </x:c>
      <x:c r="C8" s="95" t="str">
        <x:v>Emprendamos Grupal Autogestionado</x:v>
      </x:c>
      <x:c r="D8" s="95" t="str">
        <x:v>Subsidio</x:v>
      </x:c>
      <x:c r="E8" s="95" t="str">
        <x:v>Sí</x:v>
      </x:c>
      <x:c r="F8" s="95" t="str">
        <x:v>Ventas informales; ventas formales baja escala</x:v>
      </x:c>
      <x:c r="G8" s="95" t="str">
        <x:v>Organización o grupo según bases</x:v>
      </x:c>
      <x:c r="H8" s="95" t="str">
        <x:v>Agrupaciones de emprendedores</x:v>
      </x:c>
      <x:c r="I8" s="95" t="str">
        <x:v>Nacional / regional</x:v>
      </x:c>
      <x:c r="J8" s="95" t="str">
        <x:v>Multisectorial</x:v>
      </x:c>
      <x:c r="K8" s="119" t="n">
        <x:v>5000000</x:v>
      </x:c>
      <x:c r="L8" s="120"/>
      <x:c r="M8" s="95" t="str">
        <x:v>Según bases</x:v>
      </x:c>
      <x:c r="N8" s="95" t="str">
        <x:v>Proyecto productivo colectivo</x:v>
      </x:c>
      <x:c r="O8" s="95" t="str">
        <x:v>Organización y territorio con llamado</x:v>
      </x:c>
      <x:c r="P8" s="95" t="str">
        <x:v>Admisibilidad depende de la convocatoria</x:v>
      </x:c>
      <x:c r="Q8" s="95" t="str">
        <x:v>Anual o regional</x:v>
      </x:c>
      <x:c r="R8" s="95" t="str">
        <x:v>Apertura 2026 observada en Magallanes</x:v>
      </x:c>
      <x:c r="S8" s="95" t="str">
        <x:v>Media</x:v>
      </x:c>
      <x:c r="T8" s="95" t="str">
        <x:v>Grupo organizado con necesidad común</x:v>
      </x:c>
      <x:c r="U8" s="95" t="str">
        <x:v>Revisar próxima convocatoria oficial</x:v>
      </x:c>
      <x:c r="V8" s="95" t="str">
        <x:v>https://www.fosis.gob.cl/es/programas/autonomia-economica/</x:v>
      </x:c>
      <x:c r="W8" s="121" t="str">
        <x:v>2026-08-28</x:v>
      </x:c>
      <x:c r="X8" s="96" t="str">
        <x:v>Media</x:v>
      </x:c>
    </x:row>
    <x:row r="9">
      <x:c r="A9" s="93" t="str">
        <x:v>INS-005</x:v>
      </x:c>
      <x:c r="B9" s="95" t="str">
        <x:v>Sercotec</x:v>
      </x:c>
      <x:c r="C9" s="95" t="str">
        <x:v>Capital Semilla Emprende</x:v>
      </x:c>
      <x:c r="D9" s="95" t="str">
        <x:v>Subsidio</x:v>
      </x:c>
      <x:c r="E9" s="95" t="str">
        <x:v>Sí</x:v>
      </x:c>
      <x:c r="F9" s="95" t="str">
        <x:v>Idea; incubación</x:v>
      </x:c>
      <x:c r="G9" s="95" t="str">
        <x:v>Sin inicio de actividades en primera categoría</x:v>
      </x:c>
      <x:c r="H9" s="95" t="str">
        <x:v>Persona natural mayor de 18 años</x:v>
      </x:c>
      <x:c r="I9" s="95" t="str">
        <x:v>Nacional / regional</x:v>
      </x:c>
      <x:c r="J9" s="95" t="str">
        <x:v>Multisectorial</x:v>
      </x:c>
      <x:c r="K9" s="119" t="n">
        <x:v>3500000</x:v>
      </x:c>
      <x:c r="L9" s="120" t="n">
        <x:v>0.97</x:v>
      </x:c>
      <x:c r="M9" s="95" t="str">
        <x:v>3% del subsidio</x:v>
      </x:c>
      <x:c r="N9" s="95" t="str">
        <x:v>Gestión empresarial e inversiones para crear negocio</x:v>
      </x:c>
      <x:c r="O9" s="95" t="str">
        <x:v>Proyecto alineado con foco regional</x:v>
      </x:c>
      <x:c r="P9" s="95" t="str">
        <x:v>Empresa formal en primera categoría</x:v>
      </x:c>
      <x:c r="Q9" s="95" t="str">
        <x:v>Anual o regional</x:v>
      </x:c>
      <x:c r="R9" s="95" t="str">
        <x:v>Convocatoria nacional 2026 cerrada</x:v>
      </x:c>
      <x:c r="S9" s="95" t="str">
        <x:v>Alta</x:v>
      </x:c>
      <x:c r="T9" s="95" t="str">
        <x:v>Idea lista para formalizar y comenzar ventas</x:v>
      </x:c>
      <x:c r="U9" s="95" t="str">
        <x:v>Revisar próxima convocatoria oficial</x:v>
      </x:c>
      <x:c r="V9" s="95" t="str">
        <x:v>https://www.sercotec.cl/programas/capital-semilla-emprende/</x:v>
      </x:c>
      <x:c r="W9" s="121" t="str">
        <x:v>2026-08-28</x:v>
      </x:c>
      <x:c r="X9" s="96" t="str">
        <x:v>Media</x:v>
      </x:c>
    </x:row>
    <x:row r="10">
      <x:c r="A10" s="93" t="str">
        <x:v>INS-006</x:v>
      </x:c>
      <x:c r="B10" s="95" t="str">
        <x:v>Sercotec</x:v>
      </x:c>
      <x:c r="C10" s="95" t="str">
        <x:v>Capital Abeja Emprende</x:v>
      </x:c>
      <x:c r="D10" s="95" t="str">
        <x:v>Subsidio</x:v>
      </x:c>
      <x:c r="E10" s="95" t="str">
        <x:v>Sí</x:v>
      </x:c>
      <x:c r="F10" s="95" t="str">
        <x:v>Idea; incubación</x:v>
      </x:c>
      <x:c r="G10" s="95" t="str">
        <x:v>Sin inicio de actividades en primera categoría</x:v>
      </x:c>
      <x:c r="H10" s="95" t="str">
        <x:v>Mujeres mayores de 18 años</x:v>
      </x:c>
      <x:c r="I10" s="95" t="str">
        <x:v>Nacional / regional</x:v>
      </x:c>
      <x:c r="J10" s="95" t="str">
        <x:v>Multisectorial</x:v>
      </x:c>
      <x:c r="K10" s="119" t="n">
        <x:v>3500000</x:v>
      </x:c>
      <x:c r="L10" s="120" t="n">
        <x:v>0.97</x:v>
      </x:c>
      <x:c r="M10" s="95" t="str">
        <x:v>3% del subsidio</x:v>
      </x:c>
      <x:c r="N10" s="95" t="str">
        <x:v>Gestión e inversión para crear negocio liderado por mujer</x:v>
      </x:c>
      <x:c r="O10" s="95" t="str">
        <x:v>Ser mujer y cumplir foco regional</x:v>
      </x:c>
      <x:c r="P10" s="95" t="str">
        <x:v>Admisibilidad depende de la convocatoria</x:v>
      </x:c>
      <x:c r="Q10" s="95" t="str">
        <x:v>Anual o regional</x:v>
      </x:c>
      <x:c r="R10" s="95" t="str">
        <x:v>Convocatoria 2026 cerrada</x:v>
      </x:c>
      <x:c r="S10" s="95" t="str">
        <x:v>Alta</x:v>
      </x:c>
      <x:c r="T10" s="95" t="str">
        <x:v>Emprendedora con idea lista para formalizar</x:v>
      </x:c>
      <x:c r="U10" s="95" t="str">
        <x:v>Revisar próxima convocatoria oficial</x:v>
      </x:c>
      <x:c r="V10" s="95" t="str">
        <x:v>https://www.sercotec.cl/programas/capital-abeja-emprende/</x:v>
      </x:c>
      <x:c r="W10" s="121" t="str">
        <x:v>2026-08-28</x:v>
      </x:c>
      <x:c r="X10" s="96" t="str">
        <x:v>Media</x:v>
      </x:c>
    </x:row>
    <x:row r="11">
      <x:c r="A11" s="93" t="str">
        <x:v>INS-007</x:v>
      </x:c>
      <x:c r="B11" s="95" t="str">
        <x:v>Sercotec</x:v>
      </x:c>
      <x:c r="C11" s="95" t="str">
        <x:v>Capital Pioneras</x:v>
      </x:c>
      <x:c r="D11" s="95" t="str">
        <x:v>Subsidio</x:v>
      </x:c>
      <x:c r="E11" s="95" t="str">
        <x:v>Sí</x:v>
      </x:c>
      <x:c r="F11" s="95" t="str">
        <x:v>Idea; incubación</x:v>
      </x:c>
      <x:c r="G11" s="95" t="str">
        <x:v>Sin inicio de actividades en primera categoría</x:v>
      </x:c>
      <x:c r="H11" s="95" t="str">
        <x:v>Mujeres en sectores con baja participación femenina</x:v>
      </x:c>
      <x:c r="I11" s="95" t="str">
        <x:v>Nacional / regional</x:v>
      </x:c>
      <x:c r="J11" s="95" t="str">
        <x:v>Multisectorial</x:v>
      </x:c>
      <x:c r="K11" s="119" t="n">
        <x:v>3500000</x:v>
      </x:c>
      <x:c r="L11" s="120"/>
      <x:c r="M11" s="95" t="str">
        <x:v>Según convocatoria</x:v>
      </x:c>
      <x:c r="N11" s="95" t="str">
        <x:v>Gestión e inversión para nuevo negocio</x:v>
      </x:c>
      <x:c r="O11" s="95" t="str">
        <x:v>Actividad económica priorizada</x:v>
      </x:c>
      <x:c r="P11" s="95" t="str">
        <x:v>Admisibilidad depende de la convocatoria</x:v>
      </x:c>
      <x:c r="Q11" s="95" t="str">
        <x:v>Anual o regional</x:v>
      </x:c>
      <x:c r="R11" s="95" t="str">
        <x:v>Sin convocatoria abierta verificada</x:v>
      </x:c>
      <x:c r="S11" s="95" t="str">
        <x:v>Alta</x:v>
      </x:c>
      <x:c r="T11" s="95" t="str">
        <x:v>Emprendedora en rubro históricamente masculinizado</x:v>
      </x:c>
      <x:c r="U11" s="95" t="str">
        <x:v>Revisar próxima convocatoria oficial</x:v>
      </x:c>
      <x:c r="V11" s="95" t="str">
        <x:v>https://www.sercotec.cl/programas-y-servicios-digitalizados/</x:v>
      </x:c>
      <x:c r="W11" s="121" t="str">
        <x:v>2026-08-28</x:v>
      </x:c>
      <x:c r="X11" s="96" t="str">
        <x:v>Media</x:v>
      </x:c>
    </x:row>
    <x:row r="12">
      <x:c r="A12" s="93" t="str">
        <x:v>INS-008</x:v>
      </x:c>
      <x:c r="B12" s="95" t="str">
        <x:v>Sercotec</x:v>
      </x:c>
      <x:c r="C12" s="95" t="str">
        <x:v>Capital Semilla Modo Empleo</x:v>
      </x:c>
      <x:c r="D12" s="95" t="str">
        <x:v>Subsidio</x:v>
      </x:c>
      <x:c r="E12" s="95" t="str">
        <x:v>Sí</x:v>
      </x:c>
      <x:c r="F12" s="95" t="str">
        <x:v>Idea; ventas informales</x:v>
      </x:c>
      <x:c r="G12" s="95" t="str">
        <x:v>Sin inicio de actividades en primera categoría; restricciones previsionales según bases</x:v>
      </x:c>
      <x:c r="H12" s="95" t="str">
        <x:v>Personas desempleadas en grupos etarios definidos</x:v>
      </x:c>
      <x:c r="I12" s="95" t="str">
        <x:v>Nacional / regional</x:v>
      </x:c>
      <x:c r="J12" s="95" t="str">
        <x:v>Multisectorial</x:v>
      </x:c>
      <x:c r="K12" s="119" t="n">
        <x:v>3000000</x:v>
      </x:c>
      <x:c r="L12" s="120" t="n">
        <x:v>0.97</x:v>
      </x:c>
      <x:c r="M12" s="95" t="str">
        <x:v>3% del subsidio</x:v>
      </x:c>
      <x:c r="N12" s="95" t="str">
        <x:v>Hasta $2,8M inversión y $0,2M–$0,5M gestión</x:v>
      </x:c>
      <x:c r="O12" s="95" t="str">
        <x:v>Región habilitada y situación laboral exigida</x:v>
      </x:c>
      <x:c r="P12" s="95" t="str">
        <x:v>Admisibilidad depende de la convocatoria</x:v>
      </x:c>
      <x:c r="Q12" s="95" t="str">
        <x:v>Anual o regional</x:v>
      </x:c>
      <x:c r="R12" s="95" t="str">
        <x:v>Abierto 2026 en varias regiones</x:v>
      </x:c>
      <x:c r="S12" s="95" t="str">
        <x:v>Alta</x:v>
      </x:c>
      <x:c r="T12" s="95" t="str">
        <x:v>Persona sin empleo formal que quiere crear su fuente laboral</x:v>
      </x:c>
      <x:c r="U12" s="95" t="str">
        <x:v>Revisar próxima convocatoria oficial</x:v>
      </x:c>
      <x:c r="V12" s="95" t="str">
        <x:v>https://www.sercotec.cl/convocatoria/capital-semilla-modo-empleo-region-de-los-rios/</x:v>
      </x:c>
      <x:c r="W12" s="121" t="str">
        <x:v>2026-08-28</x:v>
      </x:c>
      <x:c r="X12" s="96" t="str">
        <x:v>Media</x:v>
      </x:c>
    </x:row>
    <x:row r="13">
      <x:c r="A13" s="93" t="str">
        <x:v>INS-009</x:v>
      </x:c>
      <x:c r="B13" s="95" t="str">
        <x:v>Sercotec</x:v>
      </x:c>
      <x:c r="C13" s="95" t="str">
        <x:v>Crece</x:v>
      </x:c>
      <x:c r="D13" s="95" t="str">
        <x:v>Subsidio</x:v>
      </x:c>
      <x:c r="E13" s="95" t="str">
        <x:v>Sí</x:v>
      </x:c>
      <x:c r="F13" s="95" t="str">
        <x:v>Ventas formales baja escala</x:v>
      </x:c>
      <x:c r="G13" s="95" t="str">
        <x:v>Inicio de actividades en primera categoría</x:v>
      </x:c>
      <x:c r="H13" s="95" t="str">
        <x:v>Micro y pequeñas empresas con ventas dentro del rango de bases</x:v>
      </x:c>
      <x:c r="I13" s="95" t="str">
        <x:v>Nacional / regional</x:v>
      </x:c>
      <x:c r="J13" s="95" t="str">
        <x:v>Multisectorial</x:v>
      </x:c>
      <x:c r="K13" s="119" t="n">
        <x:v>5000000</x:v>
      </x:c>
      <x:c r="L13" s="120"/>
      <x:c r="M13" s="95" t="str">
        <x:v>Variable por convocatoria</x:v>
      </x:c>
      <x:c r="N13" s="95" t="str">
        <x:v>Gestión empresarial e inversión</x:v>
      </x:c>
      <x:c r="O13" s="95" t="str">
        <x:v>Ventas demostrables y foco regional</x:v>
      </x:c>
      <x:c r="P13" s="95" t="str">
        <x:v>Admisibilidad depende de la convocatoria</x:v>
      </x:c>
      <x:c r="Q13" s="95" t="str">
        <x:v>Anual o regional</x:v>
      </x:c>
      <x:c r="R13" s="95" t="str">
        <x:v>Llamados regionales durante 2026</x:v>
      </x:c>
      <x:c r="S13" s="95" t="str">
        <x:v>Alta</x:v>
      </x:c>
      <x:c r="T13" s="95" t="str">
        <x:v>Negocio formal de baja escala que quiere crecer</x:v>
      </x:c>
      <x:c r="U13" s="95" t="str">
        <x:v>Revisar próxima convocatoria oficial</x:v>
      </x:c>
      <x:c r="V13" s="95" t="str">
        <x:v>https://www.sercotec.cl/programas-y-servicios-digitalizados/</x:v>
      </x:c>
      <x:c r="W13" s="121" t="str">
        <x:v>2026-08-28</x:v>
      </x:c>
      <x:c r="X13" s="96" t="str">
        <x:v>Media</x:v>
      </x:c>
    </x:row>
    <x:row r="14">
      <x:c r="A14" s="93" t="str">
        <x:v>INS-010</x:v>
      </x:c>
      <x:c r="B14" s="95" t="str">
        <x:v>Sercotec</x:v>
      </x:c>
      <x:c r="C14" s="95" t="str">
        <x:v>Crece Sostenible</x:v>
      </x:c>
      <x:c r="D14" s="95" t="str">
        <x:v>Subsidio</x:v>
      </x:c>
      <x:c r="E14" s="95" t="str">
        <x:v>Sí</x:v>
      </x:c>
      <x:c r="F14" s="95" t="str">
        <x:v>Ventas formales baja escala</x:v>
      </x:c>
      <x:c r="G14" s="95" t="str">
        <x:v>Inicio de actividades en primera categoría</x:v>
      </x:c>
      <x:c r="H14" s="95" t="str">
        <x:v>Micro y pequeñas empresas de 200 a 25.000 UF de ventas</x:v>
      </x:c>
      <x:c r="I14" s="95" t="str">
        <x:v>Nacional / regional</x:v>
      </x:c>
      <x:c r="J14" s="95" t="str">
        <x:v>Multisectorial</x:v>
      </x:c>
      <x:c r="K14" s="119" t="n">
        <x:v>9000000</x:v>
      </x:c>
      <x:c r="L14" s="120"/>
      <x:c r="M14" s="95" t="str">
        <x:v>Según bases</x:v>
      </x:c>
      <x:c r="N14" s="95" t="str">
        <x:v>Inversiones para sostenibilidad y eficiencia</x:v>
      </x:c>
      <x:c r="O14" s="95" t="str">
        <x:v>Completar formación previa y proyecto sostenible</x:v>
      </x:c>
      <x:c r="P14" s="95" t="str">
        <x:v>Admisibilidad depende de la convocatoria</x:v>
      </x:c>
      <x:c r="Q14" s="95" t="str">
        <x:v>Anual o regional</x:v>
      </x:c>
      <x:c r="R14" s="95" t="str">
        <x:v>Convocatoria nacional 2026 cerrada</x:v>
      </x:c>
      <x:c r="S14" s="95" t="str">
        <x:v>Media</x:v>
      </x:c>
      <x:c r="T14" s="95" t="str">
        <x:v>Empresa formal con inversión ambiental o circular concreta</x:v>
      </x:c>
      <x:c r="U14" s="95" t="str">
        <x:v>Revisar próxima convocatoria oficial</x:v>
      </x:c>
      <x:c r="V14" s="95" t="str">
        <x:v>https://www.sercotec.cl/programas/crece-sostenible/</x:v>
      </x:c>
      <x:c r="W14" s="121" t="str">
        <x:v>2026-08-28</x:v>
      </x:c>
      <x:c r="X14" s="96" t="str">
        <x:v>Media</x:v>
      </x:c>
    </x:row>
    <x:row r="15">
      <x:c r="A15" s="93" t="str">
        <x:v>INS-011</x:v>
      </x:c>
      <x:c r="B15" s="95" t="str">
        <x:v>Sercotec</x:v>
      </x:c>
      <x:c r="C15" s="95" t="str">
        <x:v>Digitaliza tu Almacén</x:v>
      </x:c>
      <x:c r="D15" s="95" t="str">
        <x:v>Subsidio</x:v>
      </x:c>
      <x:c r="E15" s="95" t="str">
        <x:v>Sí</x:v>
      </x:c>
      <x:c r="F15" s="95" t="str">
        <x:v>Ventas formales baja escala</x:v>
      </x:c>
      <x:c r="G15" s="95" t="str">
        <x:v>Inicio de actividades y antigüedad mínima</x:v>
      </x:c>
      <x:c r="H15" s="95" t="str">
        <x:v>Almacenes con ventas de hasta 5.000 UF</x:v>
      </x:c>
      <x:c r="I15" s="95" t="str">
        <x:v>Nacional / regional</x:v>
      </x:c>
      <x:c r="J15" s="95" t="str">
        <x:v>Multisectorial</x:v>
      </x:c>
      <x:c r="K15" s="119" t="n">
        <x:v>3000000</x:v>
      </x:c>
      <x:c r="L15" s="120"/>
      <x:c r="M15" s="95" t="str">
        <x:v>Según bases</x:v>
      </x:c>
      <x:c r="N15" s="95" t="str">
        <x:v>Equipamiento y tecnología para digitalización</x:v>
      </x:c>
      <x:c r="O15" s="95" t="str">
        <x:v>Actividad de almacén y curso exigido</x:v>
      </x:c>
      <x:c r="P15" s="95" t="str">
        <x:v>Admisibilidad depende de la convocatoria</x:v>
      </x:c>
      <x:c r="Q15" s="95" t="str">
        <x:v>Anual o regional</x:v>
      </x:c>
      <x:c r="R15" s="95" t="str">
        <x:v>Sin convocatoria abierta verificada</x:v>
      </x:c>
      <x:c r="S15" s="95" t="str">
        <x:v>Media</x:v>
      </x:c>
      <x:c r="T15" s="95" t="str">
        <x:v>Almacén formal que necesita digitalizar ventas y gestión</x:v>
      </x:c>
      <x:c r="U15" s="95" t="str">
        <x:v>Revisar próxima convocatoria oficial</x:v>
      </x:c>
      <x:c r="V15" s="95" t="str">
        <x:v>https://www.sercotec.cl/programas/digitaliza-tu-almacen/</x:v>
      </x:c>
      <x:c r="W15" s="121" t="str">
        <x:v>2026-08-28</x:v>
      </x:c>
      <x:c r="X15" s="96" t="str">
        <x:v>Media</x:v>
      </x:c>
    </x:row>
    <x:row r="16">
      <x:c r="A16" s="93" t="str">
        <x:v>INS-012</x:v>
      </x:c>
      <x:c r="B16" s="95" t="str">
        <x:v>Sercotec</x:v>
      </x:c>
      <x:c r="C16" s="95" t="str">
        <x:v>Kit Digital / Ruta Digital</x:v>
      </x:c>
      <x:c r="D16" s="95" t="str">
        <x:v>Voucher o subsidio</x:v>
      </x:c>
      <x:c r="E16" s="95" t="str">
        <x:v>Sí</x:v>
      </x:c>
      <x:c r="F16" s="95" t="str">
        <x:v>Ventas formales baja escala</x:v>
      </x:c>
      <x:c r="G16" s="95" t="str">
        <x:v>Inicio de actividades</x:v>
      </x:c>
      <x:c r="H16" s="95" t="str">
        <x:v>Micro y pequeñas empresas</x:v>
      </x:c>
      <x:c r="I16" s="95" t="str">
        <x:v>Nacional / regional</x:v>
      </x:c>
      <x:c r="J16" s="95" t="str">
        <x:v>Multisectorial</x:v>
      </x:c>
      <x:c r="K16" s="119"/>
      <x:c r="L16" s="120"/>
      <x:c r="M16" s="95" t="str">
        <x:v>Según bases</x:v>
      </x:c>
      <x:c r="N16" s="95" t="str">
        <x:v>Herramientas y servicios digitales</x:v>
      </x:c>
      <x:c r="O16" s="95" t="str">
        <x:v>Completar ruta formativa según convocatoria</x:v>
      </x:c>
      <x:c r="P16" s="95" t="str">
        <x:v>Admisibilidad depende de la convocatoria</x:v>
      </x:c>
      <x:c r="Q16" s="95" t="str">
        <x:v>Anual o regional</x:v>
      </x:c>
      <x:c r="R16" s="95" t="str">
        <x:v>Oferta depende de aperturas</x:v>
      </x:c>
      <x:c r="S16" s="95" t="str">
        <x:v>Media</x:v>
      </x:c>
      <x:c r="T16" s="95" t="str">
        <x:v>Negocio formal con brecha digital específica</x:v>
      </x:c>
      <x:c r="U16" s="95" t="str">
        <x:v>Revisar próxima convocatoria oficial</x:v>
      </x:c>
      <x:c r="V16" s="95" t="str">
        <x:v>https://www.sercotec.cl/programas-y-servicios-digitalizados/</x:v>
      </x:c>
      <x:c r="W16" s="121" t="str">
        <x:v>2026-08-28</x:v>
      </x:c>
      <x:c r="X16" s="96" t="str">
        <x:v>Media</x:v>
      </x:c>
    </x:row>
    <x:row r="17">
      <x:c r="A17" s="93" t="str">
        <x:v>INS-013</x:v>
      </x:c>
      <x:c r="B17" s="95" t="str">
        <x:v>Sercotec</x:v>
      </x:c>
      <x:c r="C17" s="95" t="str">
        <x:v>MejoraNegocios</x:v>
      </x:c>
      <x:c r="D17" s="95" t="str">
        <x:v>Voucher</x:v>
      </x:c>
      <x:c r="E17" s="95" t="str">
        <x:v>Sí</x:v>
      </x:c>
      <x:c r="F17" s="95" t="str">
        <x:v>Ventas formales baja escala</x:v>
      </x:c>
      <x:c r="G17" s="95" t="str">
        <x:v>Inicio de actividades</x:v>
      </x:c>
      <x:c r="H17" s="95" t="str">
        <x:v>Micro y pequeñas empresas</x:v>
      </x:c>
      <x:c r="I17" s="95" t="str">
        <x:v>Nacional / regional</x:v>
      </x:c>
      <x:c r="J17" s="95" t="str">
        <x:v>Multisectorial</x:v>
      </x:c>
      <x:c r="K17" s="119"/>
      <x:c r="L17" s="120"/>
      <x:c r="M17" s="95" t="str">
        <x:v>Según bases</x:v>
      </x:c>
      <x:c r="N17" s="95" t="str">
        <x:v>Asesoría especializada y certificaciones</x:v>
      </x:c>
      <x:c r="O17" s="95" t="str">
        <x:v>Necesidad técnica elegible</x:v>
      </x:c>
      <x:c r="P17" s="95" t="str">
        <x:v>Admisibilidad depende de la convocatoria</x:v>
      </x:c>
      <x:c r="Q17" s="95" t="str">
        <x:v>Anual o regional</x:v>
      </x:c>
      <x:c r="R17" s="95" t="str">
        <x:v>Oferta regional variable</x:v>
      </x:c>
      <x:c r="S17" s="95" t="str">
        <x:v>Media</x:v>
      </x:c>
      <x:c r="T17" s="95" t="str">
        <x:v>Negocio que necesita resolver una brecha especializada</x:v>
      </x:c>
      <x:c r="U17" s="95" t="str">
        <x:v>Revisar próxima convocatoria oficial</x:v>
      </x:c>
      <x:c r="V17" s="95" t="str">
        <x:v>https://www.sercotec.cl/programas-y-servicios-digitalizados/</x:v>
      </x:c>
      <x:c r="W17" s="121" t="str">
        <x:v>2026-08-28</x:v>
      </x:c>
      <x:c r="X17" s="96" t="str">
        <x:v>Media</x:v>
      </x:c>
    </x:row>
    <x:row r="18">
      <x:c r="A18" s="93" t="str">
        <x:v>INS-014</x:v>
      </x:c>
      <x:c r="B18" s="95" t="str">
        <x:v>Sercotec</x:v>
      </x:c>
      <x:c r="C18" s="95" t="str">
        <x:v>Promoción y Canales de Comercialización</x:v>
      </x:c>
      <x:c r="D18" s="95" t="str">
        <x:v>Subsidio / servicio</x:v>
      </x:c>
      <x:c r="E18" s="95" t="str">
        <x:v>Sí</x:v>
      </x:c>
      <x:c r="F18" s="95" t="str">
        <x:v>Ventas formales baja escala</x:v>
      </x:c>
      <x:c r="G18" s="95" t="str">
        <x:v>Inicio de actividades o agrupación según llamado</x:v>
      </x:c>
      <x:c r="H18" s="95" t="str">
        <x:v>Empresas y organizaciones</x:v>
      </x:c>
      <x:c r="I18" s="95" t="str">
        <x:v>Nacional / regional</x:v>
      </x:c>
      <x:c r="J18" s="95" t="str">
        <x:v>Multisectorial</x:v>
      </x:c>
      <x:c r="K18" s="119"/>
      <x:c r="L18" s="120"/>
      <x:c r="M18" s="95" t="str">
        <x:v>Según bases</x:v>
      </x:c>
      <x:c r="N18" s="95" t="str">
        <x:v>Ferias, vitrinas y canales comerciales</x:v>
      </x:c>
      <x:c r="O18" s="95" t="str">
        <x:v>Oferta regional vigente</x:v>
      </x:c>
      <x:c r="P18" s="95" t="str">
        <x:v>Admisibilidad depende de la convocatoria</x:v>
      </x:c>
      <x:c r="Q18" s="95" t="str">
        <x:v>Anual o regional</x:v>
      </x:c>
      <x:c r="R18" s="95" t="str">
        <x:v>Convocatorias regionales variables</x:v>
      </x:c>
      <x:c r="S18" s="95" t="str">
        <x:v>Media</x:v>
      </x:c>
      <x:c r="T18" s="95" t="str">
        <x:v>Negocio con producto listo para vender</x:v>
      </x:c>
      <x:c r="U18" s="95" t="str">
        <x:v>Revisar próxima convocatoria oficial</x:v>
      </x:c>
      <x:c r="V18" s="95" t="str">
        <x:v>https://www.sercotec.cl/programas-y-servicios-digitalizados/</x:v>
      </x:c>
      <x:c r="W18" s="121" t="str">
        <x:v>2026-08-28</x:v>
      </x:c>
      <x:c r="X18" s="96" t="str">
        <x:v>Media</x:v>
      </x:c>
    </x:row>
    <x:row r="19">
      <x:c r="A19" s="93" t="str">
        <x:v>INS-015</x:v>
      </x:c>
      <x:c r="B19" s="95" t="str">
        <x:v>Sercotec</x:v>
      </x:c>
      <x:c r="C19" s="95" t="str">
        <x:v>Negocios Digitales</x:v>
      </x:c>
      <x:c r="D19" s="95" t="str">
        <x:v>Subsidio</x:v>
      </x:c>
      <x:c r="E19" s="95" t="str">
        <x:v>Sí</x:v>
      </x:c>
      <x:c r="F19" s="95" t="str">
        <x:v>Ventas formales baja escala</x:v>
      </x:c>
      <x:c r="G19" s="95" t="str">
        <x:v>Inicio de actividades</x:v>
      </x:c>
      <x:c r="H19" s="95" t="str">
        <x:v>Micro y pequeñas empresas</x:v>
      </x:c>
      <x:c r="I19" s="95" t="str">
        <x:v>Nacional / regional</x:v>
      </x:c>
      <x:c r="J19" s="95" t="str">
        <x:v>Multisectorial</x:v>
      </x:c>
      <x:c r="K19" s="119"/>
      <x:c r="L19" s="120"/>
      <x:c r="M19" s="95" t="str">
        <x:v>Según bases</x:v>
      </x:c>
      <x:c r="N19" s="95" t="str">
        <x:v>Canales digitales, gestión y comercialización</x:v>
      </x:c>
      <x:c r="O19" s="95" t="str">
        <x:v>Criterios regionales</x:v>
      </x:c>
      <x:c r="P19" s="95" t="str">
        <x:v>Admisibilidad depende de la convocatoria</x:v>
      </x:c>
      <x:c r="Q19" s="95" t="str">
        <x:v>Anual o regional</x:v>
      </x:c>
      <x:c r="R19" s="95" t="str">
        <x:v>Sin convocatoria abierta verificada</x:v>
      </x:c>
      <x:c r="S19" s="95" t="str">
        <x:v>Media</x:v>
      </x:c>
      <x:c r="T19" s="95" t="str">
        <x:v>Negocio formal que busca vender o gestionar digitalmente</x:v>
      </x:c>
      <x:c r="U19" s="95" t="str">
        <x:v>Revisar próxima convocatoria oficial</x:v>
      </x:c>
      <x:c r="V19" s="95" t="str">
        <x:v>https://www.sercotec.cl/programas-y-servicios-digitalizados/</x:v>
      </x:c>
      <x:c r="W19" s="121" t="str">
        <x:v>2026-08-28</x:v>
      </x:c>
      <x:c r="X19" s="96" t="str">
        <x:v>Media</x:v>
      </x:c>
    </x:row>
    <x:row r="20">
      <x:c r="A20" s="93" t="str">
        <x:v>INS-016</x:v>
      </x:c>
      <x:c r="B20" s="95" t="str">
        <x:v>Sercotec</x:v>
      </x:c>
      <x:c r="C20" s="95" t="str">
        <x:v>Pymes Globales</x:v>
      </x:c>
      <x:c r="D20" s="95" t="str">
        <x:v>Subsidio</x:v>
      </x:c>
      <x:c r="E20" s="95" t="str">
        <x:v>Sí</x:v>
      </x:c>
      <x:c r="F20" s="95" t="str">
        <x:v>Ventas formales baja escala</x:v>
      </x:c>
      <x:c r="G20" s="95" t="str">
        <x:v>Inicio de actividades</x:v>
      </x:c>
      <x:c r="H20" s="95" t="str">
        <x:v>Pymes con potencial de internacionalización</x:v>
      </x:c>
      <x:c r="I20" s="95" t="str">
        <x:v>Nacional / regional</x:v>
      </x:c>
      <x:c r="J20" s="95" t="str">
        <x:v>Multisectorial</x:v>
      </x:c>
      <x:c r="K20" s="119"/>
      <x:c r="L20" s="120"/>
      <x:c r="M20" s="95" t="str">
        <x:v>Según bases</x:v>
      </x:c>
      <x:c r="N20" s="95" t="str">
        <x:v>Preparación y acceso a mercados</x:v>
      </x:c>
      <x:c r="O20" s="95" t="str">
        <x:v>Potencial exportador</x:v>
      </x:c>
      <x:c r="P20" s="95" t="str">
        <x:v>Admisibilidad depende de la convocatoria</x:v>
      </x:c>
      <x:c r="Q20" s="95" t="str">
        <x:v>Anual o regional</x:v>
      </x:c>
      <x:c r="R20" s="95" t="str">
        <x:v>Sin convocatoria abierta verificada</x:v>
      </x:c>
      <x:c r="S20" s="95" t="str">
        <x:v>Baja</x:v>
      </x:c>
      <x:c r="T20" s="95" t="str">
        <x:v>Empresa formal con oferta exportable</x:v>
      </x:c>
      <x:c r="U20" s="95" t="str">
        <x:v>Revisar próxima convocatoria oficial</x:v>
      </x:c>
      <x:c r="V20" s="95" t="str">
        <x:v>https://www.sercotec.cl/programas-y-servicios-digitalizados/</x:v>
      </x:c>
      <x:c r="W20" s="121" t="str">
        <x:v>2026-08-28</x:v>
      </x:c>
      <x:c r="X20" s="96" t="str">
        <x:v>Media</x:v>
      </x:c>
    </x:row>
    <x:row r="21">
      <x:c r="A21" s="93" t="str">
        <x:v>INS-017</x:v>
      </x:c>
      <x:c r="B21" s="95" t="str">
        <x:v>Sercotec</x:v>
      </x:c>
      <x:c r="C21" s="95" t="str">
        <x:v>Inicia tu Negocio (FNDR regional)</x:v>
      </x:c>
      <x:c r="D21" s="95" t="str">
        <x:v>Subsidio</x:v>
      </x:c>
      <x:c r="E21" s="95" t="str">
        <x:v>Sí</x:v>
      </x:c>
      <x:c r="F21" s="95" t="str">
        <x:v>Idea; ventas informales</x:v>
      </x:c>
      <x:c r="G21" s="95" t="str">
        <x:v>Sin inicio de actividades en primera categoría</x:v>
      </x:c>
      <x:c r="H21" s="95" t="str">
        <x:v>Personas del territorio definido</x:v>
      </x:c>
      <x:c r="I21" s="95" t="str">
        <x:v>Nacional / regional</x:v>
      </x:c>
      <x:c r="J21" s="95" t="str">
        <x:v>Multisectorial</x:v>
      </x:c>
      <x:c r="K21" s="119" t="n">
        <x:v>5000000</x:v>
      </x:c>
      <x:c r="L21" s="120" t="n">
        <x:v>0.99</x:v>
      </x:c>
      <x:c r="M21" s="95" t="str">
        <x:v>1% del subsidio</x:v>
      </x:c>
      <x:c r="N21" s="95" t="str">
        <x:v>Gestión e inversiones para iniciar negocio</x:v>
      </x:c>
      <x:c r="O21" s="95" t="str">
        <x:v>Residencia y actividad en territorio focalizado</x:v>
      </x:c>
      <x:c r="P21" s="95" t="str">
        <x:v>Admisibilidad depende de la convocatoria</x:v>
      </x:c>
      <x:c r="Q21" s="95" t="str">
        <x:v>Anual o regional</x:v>
      </x:c>
      <x:c r="R21" s="95" t="str">
        <x:v>Convocatorias abiertas 2026 en Aysén</x:v>
      </x:c>
      <x:c r="S21" s="95" t="str">
        <x:v>Alta</x:v>
      </x:c>
      <x:c r="T21" s="95" t="str">
        <x:v>Idea con arraigo territorial y foco sectorial</x:v>
      </x:c>
      <x:c r="U21" s="95" t="str">
        <x:v>Revisar próxima convocatoria oficial</x:v>
      </x:c>
      <x:c r="V21" s="95" t="str">
        <x:v>https://www.sercotec.cl/convocatoria/2026-fndr-inicia-tu-negocio-en-turismo-comuna-cisnes-sector-litoral/</x:v>
      </x:c>
      <x:c r="W21" s="121" t="str">
        <x:v>2026-08-28</x:v>
      </x:c>
      <x:c r="X21" s="96" t="str">
        <x:v>Media</x:v>
      </x:c>
    </x:row>
    <x:row r="22">
      <x:c r="A22" s="93" t="str">
        <x:v>INS-018</x:v>
      </x:c>
      <x:c r="B22" s="95" t="str">
        <x:v>Sercotec</x:v>
      </x:c>
      <x:c r="C22" s="95" t="str">
        <x:v>Reactívate (FNDR regional)</x:v>
      </x:c>
      <x:c r="D22" s="95" t="str">
        <x:v>Subsidio</x:v>
      </x:c>
      <x:c r="E22" s="95" t="str">
        <x:v>Sí</x:v>
      </x:c>
      <x:c r="F22" s="95" t="str">
        <x:v>Ventas formales baja escala</x:v>
      </x:c>
      <x:c r="G22" s="95" t="str">
        <x:v>Inicio de actividades anterior a fecha de corte</x:v>
      </x:c>
      <x:c r="H22" s="95" t="str">
        <x:v>Micro y pequeñas empresas afectadas o focalizadas</x:v>
      </x:c>
      <x:c r="I22" s="95" t="str">
        <x:v>Nacional / regional</x:v>
      </x:c>
      <x:c r="J22" s="95" t="str">
        <x:v>Multisectorial</x:v>
      </x:c>
      <x:c r="K22" s="119" t="n">
        <x:v>10000000</x:v>
      </x:c>
      <x:c r="L22" s="120" t="n">
        <x:v>0.99</x:v>
      </x:c>
      <x:c r="M22" s="95" t="str">
        <x:v>1% del subsidio</x:v>
      </x:c>
      <x:c r="N22" s="95" t="str">
        <x:v>Reactivación, inversión y capital de trabajo según bases</x:v>
      </x:c>
      <x:c r="O22" s="95" t="str">
        <x:v>Territorio, ventas y antigüedad definidos</x:v>
      </x:c>
      <x:c r="P22" s="95" t="str">
        <x:v>Admisibilidad depende de la convocatoria</x:v>
      </x:c>
      <x:c r="Q22" s="95" t="str">
        <x:v>Anual o regional</x:v>
      </x:c>
      <x:c r="R22" s="95" t="str">
        <x:v>Convocatoria abierta 2026 en Aysén</x:v>
      </x:c>
      <x:c r="S22" s="95" t="str">
        <x:v>Alta</x:v>
      </x:c>
      <x:c r="T22" s="95" t="str">
        <x:v>Empresa formal del territorio que necesita reactivarse</x:v>
      </x:c>
      <x:c r="U22" s="95" t="str">
        <x:v>Revisar próxima convocatoria oficial</x:v>
      </x:c>
      <x:c r="V22" s="95" t="str">
        <x:v>https://www.sercotec.cl/convocatoria/reactivate-multisectorial-aysen_fndr-2026/</x:v>
      </x:c>
      <x:c r="W22" s="121" t="str">
        <x:v>2026-08-28</x:v>
      </x:c>
      <x:c r="X22" s="96" t="str">
        <x:v>Media</x:v>
      </x:c>
    </x:row>
    <x:row r="23">
      <x:c r="A23" s="93" t="str">
        <x:v>INS-019</x:v>
      </x:c>
      <x:c r="B23" s="95" t="str">
        <x:v>Corfo</x:v>
      </x:c>
      <x:c r="C23" s="95" t="str">
        <x:v>Semilla Inicia</x:v>
      </x:c>
      <x:c r="D23" s="95" t="str">
        <x:v>Subsidio</x:v>
      </x:c>
      <x:c r="E23" s="95" t="str">
        <x:v>Sí</x:v>
      </x:c>
      <x:c r="F23" s="95" t="str">
        <x:v>Idea; incubación</x:v>
      </x:c>
      <x:c r="G23" s="95" t="str">
        <x:v>Persona natural o empresa joven; solución sin ventas</x:v>
      </x:c>
      <x:c r="H23" s="95" t="str">
        <x:v>Emprendimientos innovadores de alto potencial</x:v>
      </x:c>
      <x:c r="I23" s="95" t="str">
        <x:v>Nacional / regional</x:v>
      </x:c>
      <x:c r="J23" s="95" t="str">
        <x:v>Multisectorial</x:v>
      </x:c>
      <x:c r="K23" s="119" t="n">
        <x:v>15000000</x:v>
      </x:c>
      <x:c r="L23" s="120" t="n">
        <x:v>0.75</x:v>
      </x:c>
      <x:c r="M23" s="95" t="str">
        <x:v>25%; mejores condiciones para mujeres según llamado</x:v>
      </x:c>
      <x:c r="N23" s="95" t="str">
        <x:v>Validación técnica y comercial</x:v>
      </x:c>
      <x:c r="O23" s="95" t="str">
        <x:v>Innovación, empresa menor a 18 meses si aplica y solución sin ventas</x:v>
      </x:c>
      <x:c r="P23" s="95" t="str">
        <x:v>Negocio tradicional sin innovación</x:v>
      </x:c>
      <x:c r="Q23" s="95" t="str">
        <x:v>Anual o regional</x:v>
      </x:c>
      <x:c r="R23" s="95" t="str">
        <x:v>Convocatorias 2026 cerradas</x:v>
      </x:c>
      <x:c r="S23" s="95" t="str">
        <x:v>Alta</x:v>
      </x:c>
      <x:c r="T23" s="95" t="str">
        <x:v>Proyecto innovador con prototipo o validación inicial</x:v>
      </x:c>
      <x:c r="U23" s="95" t="str">
        <x:v>Revisar próxima convocatoria oficial</x:v>
      </x:c>
      <x:c r="V23" s="95" t="str">
        <x:v>https://www.corfo.gob.cl/sites/cpp/programas-y-convocatorias</x:v>
      </x:c>
      <x:c r="W23" s="121" t="str">
        <x:v>2026-08-28</x:v>
      </x:c>
      <x:c r="X23" s="96" t="str">
        <x:v>Media</x:v>
      </x:c>
    </x:row>
    <x:row r="24">
      <x:c r="A24" s="93" t="str">
        <x:v>INS-020</x:v>
      </x:c>
      <x:c r="B24" s="95" t="str">
        <x:v>Corfo</x:v>
      </x:c>
      <x:c r="C24" s="95" t="str">
        <x:v>Semilla Inicia Mujeres</x:v>
      </x:c>
      <x:c r="D24" s="95" t="str">
        <x:v>Subsidio</x:v>
      </x:c>
      <x:c r="E24" s="95" t="str">
        <x:v>Sí</x:v>
      </x:c>
      <x:c r="F24" s="95" t="str">
        <x:v>Idea; incubación</x:v>
      </x:c>
      <x:c r="G24" s="95" t="str">
        <x:v>Persona natural mujer o empresa joven liderada por mujeres</x:v>
      </x:c>
      <x:c r="H24" s="95" t="str">
        <x:v>Emprendimiento innovador liderado por mujeres</x:v>
      </x:c>
      <x:c r="I24" s="95" t="str">
        <x:v>Nacional / regional</x:v>
      </x:c>
      <x:c r="J24" s="95" t="str">
        <x:v>Multisectorial</x:v>
      </x:c>
      <x:c r="K24" s="119" t="n">
        <x:v>17000000</x:v>
      </x:c>
      <x:c r="L24" s="120" t="n">
        <x:v>0.85</x:v>
      </x:c>
      <x:c r="M24" s="95" t="str">
        <x:v>15%</x:v>
      </x:c>
      <x:c r="N24" s="95" t="str">
        <x:v>Validación técnica y comercial</x:v>
      </x:c>
      <x:c r="O24" s="95" t="str">
        <x:v>Liderazgo femenino; empresa menor a 18 meses y solución sin ventas</x:v>
      </x:c>
      <x:c r="P24" s="95" t="str">
        <x:v>Admisibilidad depende de la convocatoria</x:v>
      </x:c>
      <x:c r="Q24" s="95" t="str">
        <x:v>Anual o regional</x:v>
      </x:c>
      <x:c r="R24" s="95" t="str">
        <x:v>Convocatoria 2026 cerrada</x:v>
      </x:c>
      <x:c r="S24" s="95" t="str">
        <x:v>Alta</x:v>
      </x:c>
      <x:c r="T24" s="95" t="str">
        <x:v>Startup innovadora liderada por mujer</x:v>
      </x:c>
      <x:c r="U24" s="95" t="str">
        <x:v>Revisar próxima convocatoria oficial</x:v>
      </x:c>
      <x:c r="V24" s="95" t="str">
        <x:v>https://www.corfo.gob.cl/sites/cpp/convocatoria/semilla-inicia-empresas-lideradas-por-mujeres-2026/</x:v>
      </x:c>
      <x:c r="W24" s="121" t="str">
        <x:v>2026-08-28</x:v>
      </x:c>
      <x:c r="X24" s="96" t="str">
        <x:v>Media</x:v>
      </x:c>
    </x:row>
    <x:row r="25">
      <x:c r="A25" s="93" t="str">
        <x:v>INS-021</x:v>
      </x:c>
      <x:c r="B25" s="95" t="str">
        <x:v>Corfo</x:v>
      </x:c>
      <x:c r="C25" s="95" t="str">
        <x:v>Semilla Expande</x:v>
      </x:c>
      <x:c r="D25" s="95" t="str">
        <x:v>Subsidio</x:v>
      </x:c>
      <x:c r="E25" s="95" t="str">
        <x:v>Sí</x:v>
      </x:c>
      <x:c r="F25" s="95" t="str">
        <x:v>Incubación; ventas formales baja escala</x:v>
      </x:c>
      <x:c r="G25" s="95" t="str">
        <x:v>Empresa con antigüedad máxima definida</x:v>
      </x:c>
      <x:c r="H25" s="95" t="str">
        <x:v>Startup innovadora con primeras ventas</x:v>
      </x:c>
      <x:c r="I25" s="95" t="str">
        <x:v>Nacional / regional</x:v>
      </x:c>
      <x:c r="J25" s="95" t="str">
        <x:v>Multisectorial</x:v>
      </x:c>
      <x:c r="K25" s="119" t="n">
        <x:v>28333334</x:v>
      </x:c>
      <x:c r="L25" s="120" t="n">
        <x:v>0.75</x:v>
      </x:c>
      <x:c r="M25" s="95" t="str">
        <x:v>25%</x:v>
      </x:c>
      <x:c r="N25" s="95" t="str">
        <x:v>Validación comercial y crecimiento</x:v>
      </x:c>
      <x:c r="O25" s="95" t="str">
        <x:v>Ventas iniciales de la solución y ventas totales bajo tope</x:v>
      </x:c>
      <x:c r="P25" s="95" t="str">
        <x:v>Admisibilidad depende de la convocatoria</x:v>
      </x:c>
      <x:c r="Q25" s="95" t="str">
        <x:v>Anual o regional</x:v>
      </x:c>
      <x:c r="R25" s="95" t="str">
        <x:v>Convocatorias 2026 cerradas</x:v>
      </x:c>
      <x:c r="S25" s="95" t="str">
        <x:v>Alta</x:v>
      </x:c>
      <x:c r="T25" s="95" t="str">
        <x:v>Startup innovadora con ventas iniciales comprobables</x:v>
      </x:c>
      <x:c r="U25" s="95" t="str">
        <x:v>Revisar próxima convocatoria oficial</x:v>
      </x:c>
      <x:c r="V25" s="95" t="str">
        <x:v>https://www.corfo.gob.cl/sites/cpp/programa/semilla-expande/</x:v>
      </x:c>
      <x:c r="W25" s="121" t="str">
        <x:v>2026-08-28</x:v>
      </x:c>
      <x:c r="X25" s="96" t="str">
        <x:v>Media</x:v>
      </x:c>
    </x:row>
    <x:row r="26">
      <x:c r="A26" s="93" t="str">
        <x:v>INS-022</x:v>
      </x:c>
      <x:c r="B26" s="95" t="str">
        <x:v>Corfo</x:v>
      </x:c>
      <x:c r="C26" s="95" t="str">
        <x:v>Semilla Expande Mujeres</x:v>
      </x:c>
      <x:c r="D26" s="95" t="str">
        <x:v>Subsidio</x:v>
      </x:c>
      <x:c r="E26" s="95" t="str">
        <x:v>Sí</x:v>
      </x:c>
      <x:c r="F26" s="95" t="str">
        <x:v>Incubación; ventas formales baja escala</x:v>
      </x:c>
      <x:c r="G26" s="95" t="str">
        <x:v>Empresa joven liderada por mujeres</x:v>
      </x:c>
      <x:c r="H26" s="95" t="str">
        <x:v>Startup innovadora liderada por mujeres y con ventas</x:v>
      </x:c>
      <x:c r="I26" s="95" t="str">
        <x:v>Nacional / regional</x:v>
      </x:c>
      <x:c r="J26" s="95" t="str">
        <x:v>Multisectorial</x:v>
      </x:c>
      <x:c r="K26" s="119" t="n">
        <x:v>28333334</x:v>
      </x:c>
      <x:c r="L26" s="120" t="n">
        <x:v>0.85</x:v>
      </x:c>
      <x:c r="M26" s="95" t="str">
        <x:v>15%</x:v>
      </x:c>
      <x:c r="N26" s="95" t="str">
        <x:v>Validación comercial y escalamiento inicial</x:v>
      </x:c>
      <x:c r="O26" s="95" t="str">
        <x:v>Liderazgo femenino y ventas de la solución</x:v>
      </x:c>
      <x:c r="P26" s="95" t="str">
        <x:v>Admisibilidad depende de la convocatoria</x:v>
      </x:c>
      <x:c r="Q26" s="95" t="str">
        <x:v>Anual o regional</x:v>
      </x:c>
      <x:c r="R26" s="95" t="str">
        <x:v>Convocatoria 2026 cerrada</x:v>
      </x:c>
      <x:c r="S26" s="95" t="str">
        <x:v>Alta</x:v>
      </x:c>
      <x:c r="T26" s="95" t="str">
        <x:v>Startup liderada por mujer con tracción inicial</x:v>
      </x:c>
      <x:c r="U26" s="95" t="str">
        <x:v>Revisar próxima convocatoria oficial</x:v>
      </x:c>
      <x:c r="V26" s="95" t="str">
        <x:v>https://www.corfo.gob.cl/sites/cpp/programa/semilla-expande/</x:v>
      </x:c>
      <x:c r="W26" s="121" t="str">
        <x:v>2026-08-28</x:v>
      </x:c>
      <x:c r="X26" s="96" t="str">
        <x:v>Media</x:v>
      </x:c>
    </x:row>
    <x:row r="27">
      <x:c r="A27" s="93" t="str">
        <x:v>INS-023</x:v>
      </x:c>
      <x:c r="B27" s="95" t="str">
        <x:v>Start-Up Chile / Corfo</x:v>
      </x:c>
      <x:c r="C27" s="95" t="str">
        <x:v>Build</x:v>
      </x:c>
      <x:c r="D27" s="95" t="str">
        <x:v>Subsidio</x:v>
      </x:c>
      <x:c r="E27" s="95" t="str">
        <x:v>Sí</x:v>
      </x:c>
      <x:c r="F27" s="95" t="str">
        <x:v>Idea; incubación</x:v>
      </x:c>
      <x:c r="G27" s="95" t="str">
        <x:v>Persona natural o empresa de hasta 12 meses</x:v>
      </x:c>
      <x:c r="H27" s="95" t="str">
        <x:v>Startup tecnológica o científico-tecnológica</x:v>
      </x:c>
      <x:c r="I27" s="95" t="str">
        <x:v>Nacional / regional</x:v>
      </x:c>
      <x:c r="J27" s="95" t="str">
        <x:v>Multisectorial</x:v>
      </x:c>
      <x:c r="K27" s="119" t="n">
        <x:v>15000000</x:v>
      </x:c>
      <x:c r="L27" s="120" t="n">
        <x:v>0.9</x:v>
      </x:c>
      <x:c r="M27" s="95" t="str">
        <x:v>10%</x:v>
      </x:c>
      <x:c r="N27" s="95" t="str">
        <x:v>Construcción y validación de MVP</x:v>
      </x:c>
      <x:c r="O27" s="95" t="str">
        <x:v>Innovación, dedicación y escalabilidad</x:v>
      </x:c>
      <x:c r="P27" s="95" t="str">
        <x:v>Admisibilidad depende de la convocatoria</x:v>
      </x:c>
      <x:c r="Q27" s="95" t="str">
        <x:v>Anual o regional</x:v>
      </x:c>
      <x:c r="R27" s="95" t="str">
        <x:v>BIG 12 cerró en mayo 2026</x:v>
      </x:c>
      <x:c r="S27" s="95" t="str">
        <x:v>Alta</x:v>
      </x:c>
      <x:c r="T27" s="95" t="str">
        <x:v>Equipo con idea tecnológica y ambición global</x:v>
      </x:c>
      <x:c r="U27" s="95" t="str">
        <x:v>Revisar próxima convocatoria oficial</x:v>
      </x:c>
      <x:c r="V27" s="95" t="str">
        <x:v>https://startupchile.org/postula/build/</x:v>
      </x:c>
      <x:c r="W27" s="121" t="str">
        <x:v>2026-08-28</x:v>
      </x:c>
      <x:c r="X27" s="96" t="str">
        <x:v>Media</x:v>
      </x:c>
    </x:row>
    <x:row r="28">
      <x:c r="A28" s="93" t="str">
        <x:v>INS-024</x:v>
      </x:c>
      <x:c r="B28" s="95" t="str">
        <x:v>Start-Up Chile / Corfo</x:v>
      </x:c>
      <x:c r="C28" s="95" t="str">
        <x:v>Ignite</x:v>
      </x:c>
      <x:c r="D28" s="95" t="str">
        <x:v>Subsidio</x:v>
      </x:c>
      <x:c r="E28" s="95" t="str">
        <x:v>Sí</x:v>
      </x:c>
      <x:c r="F28" s="95" t="str">
        <x:v>Incubación; ventas formales baja escala</x:v>
      </x:c>
      <x:c r="G28" s="95" t="str">
        <x:v>Startup menor a 3 años según convocatoria</x:v>
      </x:c>
      <x:c r="H28" s="95" t="str">
        <x:v>Startup con producto funcional y validación temprana</x:v>
      </x:c>
      <x:c r="I28" s="95" t="str">
        <x:v>Nacional / regional</x:v>
      </x:c>
      <x:c r="J28" s="95" t="str">
        <x:v>Multisectorial</x:v>
      </x:c>
      <x:c r="K28" s="119" t="n">
        <x:v>30000000</x:v>
      </x:c>
      <x:c r="L28" s="120" t="n">
        <x:v>0.8</x:v>
      </x:c>
      <x:c r="M28" s="95" t="str">
        <x:v>20%</x:v>
      </x:c>
      <x:c r="N28" s="95" t="str">
        <x:v>Crecimiento y validación de mercado</x:v>
      </x:c>
      <x:c r="O28" s="95" t="str">
        <x:v>Producto funcional, innovación y escalabilidad</x:v>
      </x:c>
      <x:c r="P28" s="95" t="str">
        <x:v>Admisibilidad depende de la convocatoria</x:v>
      </x:c>
      <x:c r="Q28" s="95" t="str">
        <x:v>Anual o regional</x:v>
      </x:c>
      <x:c r="R28" s="95" t="str">
        <x:v>BIG 12 cerró en mayo 2026</x:v>
      </x:c>
      <x:c r="S28" s="95" t="str">
        <x:v>Media</x:v>
      </x:c>
      <x:c r="T28" s="95" t="str">
        <x:v>Startup tecnológica con MVP validado</x:v>
      </x:c>
      <x:c r="U28" s="95" t="str">
        <x:v>Revisar próxima convocatoria oficial</x:v>
      </x:c>
      <x:c r="V28" s="95" t="str">
        <x:v>https://startupchile.org/postula/ignite/</x:v>
      </x:c>
      <x:c r="W28" s="121" t="str">
        <x:v>2026-08-28</x:v>
      </x:c>
      <x:c r="X28" s="96" t="str">
        <x:v>Media</x:v>
      </x:c>
    </x:row>
    <x:row r="29">
      <x:c r="A29" s="93" t="str">
        <x:v>INS-025</x:v>
      </x:c>
      <x:c r="B29" s="95" t="str">
        <x:v>Start-Up Chile / Corfo</x:v>
      </x:c>
      <x:c r="C29" s="95" t="str">
        <x:v>Growth</x:v>
      </x:c>
      <x:c r="D29" s="95" t="str">
        <x:v>Subsidio</x:v>
      </x:c>
      <x:c r="E29" s="95" t="str">
        <x:v>Sí</x:v>
      </x:c>
      <x:c r="F29" s="95" t="str">
        <x:v>Ventas formales baja escala</x:v>
      </x:c>
      <x:c r="G29" s="95" t="str">
        <x:v>Empresa con tracción</x:v>
      </x:c>
      <x:c r="H29" s="95" t="str">
        <x:v>Startup tecnológica en escalamiento</x:v>
      </x:c>
      <x:c r="I29" s="95" t="str">
        <x:v>Nacional / regional</x:v>
      </x:c>
      <x:c r="J29" s="95" t="str">
        <x:v>Multisectorial</x:v>
      </x:c>
      <x:c r="K29" s="119" t="n">
        <x:v>75000000</x:v>
      </x:c>
      <x:c r="L29" s="120" t="n">
        <x:v>0.5</x:v>
      </x:c>
      <x:c r="M29" s="95" t="str">
        <x:v>50%</x:v>
      </x:c>
      <x:c r="N29" s="95" t="str">
        <x:v>Expansión y escalamiento</x:v>
      </x:c>
      <x:c r="O29" s="95" t="str">
        <x:v>Tracción y potencial global</x:v>
      </x:c>
      <x:c r="P29" s="95" t="str">
        <x:v>Admisibilidad depende de la convocatoria</x:v>
      </x:c>
      <x:c r="Q29" s="95" t="str">
        <x:v>Anual o regional</x:v>
      </x:c>
      <x:c r="R29" s="95" t="str">
        <x:v>BIG 12 cerró en mayo 2026</x:v>
      </x:c>
      <x:c r="S29" s="95" t="str">
        <x:v>Baja</x:v>
      </x:c>
      <x:c r="T29" s="95" t="str">
        <x:v>Startup ya validada y en rápido crecimiento</x:v>
      </x:c>
      <x:c r="U29" s="95" t="str">
        <x:v>Revisar próxima convocatoria oficial</x:v>
      </x:c>
      <x:c r="V29" s="95" t="str">
        <x:v>https://startupchile.org/</x:v>
      </x:c>
      <x:c r="W29" s="121" t="str">
        <x:v>2026-08-28</x:v>
      </x:c>
      <x:c r="X29" s="96" t="str">
        <x:v>Media</x:v>
      </x:c>
    </x:row>
    <x:row r="30">
      <x:c r="A30" s="93" t="str">
        <x:v>INS-026</x:v>
      </x:c>
      <x:c r="B30" s="95" t="str">
        <x:v>Corfo</x:v>
      </x:c>
      <x:c r="C30" s="95" t="str">
        <x:v>Súmate a Innovar</x:v>
      </x:c>
      <x:c r="D30" s="95" t="str">
        <x:v>Subsidio</x:v>
      </x:c>
      <x:c r="E30" s="95" t="str">
        <x:v>Sí</x:v>
      </x:c>
      <x:c r="F30" s="95" t="str">
        <x:v>Ventas formales baja escala</x:v>
      </x:c>
      <x:c r="G30" s="95" t="str">
        <x:v>Empresa con inicio de actividades en primera categoría</x:v>
      </x:c>
      <x:c r="H30" s="95" t="str">
        <x:v>Empresas que contratan capacidades de innovación</x:v>
      </x:c>
      <x:c r="I30" s="95" t="str">
        <x:v>Nacional / regional</x:v>
      </x:c>
      <x:c r="J30" s="95" t="str">
        <x:v>Multisectorial</x:v>
      </x:c>
      <x:c r="K30" s="119"/>
      <x:c r="L30" s="120"/>
      <x:c r="M30" s="95" t="str">
        <x:v>Según bases</x:v>
      </x:c>
      <x:c r="N30" s="95" t="str">
        <x:v>Servicios de entidad colaboradora</x:v>
      </x:c>
      <x:c r="O30" s="95" t="str">
        <x:v>Desafío de innovación y colaboración externa</x:v>
      </x:c>
      <x:c r="P30" s="95" t="str">
        <x:v>Admisibilidad depende de la convocatoria</x:v>
      </x:c>
      <x:c r="Q30" s="95" t="str">
        <x:v>Anual o regional</x:v>
      </x:c>
      <x:c r="R30" s="95" t="str">
        <x:v>Sin convocatoria 2026 verificada</x:v>
      </x:c>
      <x:c r="S30" s="95" t="str">
        <x:v>Baja</x:v>
      </x:c>
      <x:c r="T30" s="95" t="str">
        <x:v>Empresa formal con desafío técnico bien definido</x:v>
      </x:c>
      <x:c r="U30" s="95" t="str">
        <x:v>Revisar próxima convocatoria oficial</x:v>
      </x:c>
      <x:c r="V30" s="95" t="str">
        <x:v>https://www.corfo.cl/sites/cpp/inf/sumate-a-innovar</x:v>
      </x:c>
      <x:c r="W30" s="121" t="str">
        <x:v>2026-08-28</x:v>
      </x:c>
      <x:c r="X30" s="96" t="str">
        <x:v>Media</x:v>
      </x:c>
    </x:row>
    <x:row r="31">
      <x:c r="A31" s="93" t="str">
        <x:v>INS-027</x:v>
      </x:c>
      <x:c r="B31" s="95" t="str">
        <x:v>Corfo</x:v>
      </x:c>
      <x:c r="C31" s="95" t="str">
        <x:v>Crea y Valida</x:v>
      </x:c>
      <x:c r="D31" s="95" t="str">
        <x:v>Subsidio</x:v>
      </x:c>
      <x:c r="E31" s="95" t="str">
        <x:v>Sí</x:v>
      </x:c>
      <x:c r="F31" s="95" t="str">
        <x:v>Incubación; ventas formales baja escala</x:v>
      </x:c>
      <x:c r="G31" s="95" t="str">
        <x:v>Persona jurídica</x:v>
      </x:c>
      <x:c r="H31" s="95" t="str">
        <x:v>Empresa con proyecto de I+D</x:v>
      </x:c>
      <x:c r="I31" s="95" t="str">
        <x:v>Nacional / regional</x:v>
      </x:c>
      <x:c r="J31" s="95" t="str">
        <x:v>Multisectorial</x:v>
      </x:c>
      <x:c r="K31" s="119"/>
      <x:c r="L31" s="120"/>
      <x:c r="M31" s="95" t="str">
        <x:v>Según bases</x:v>
      </x:c>
      <x:c r="N31" s="95" t="str">
        <x:v>Desarrollo y validación tecnológica</x:v>
      </x:c>
      <x:c r="O31" s="95" t="str">
        <x:v>I+D, novedad y capacidades técnicas</x:v>
      </x:c>
      <x:c r="P31" s="95" t="str">
        <x:v>Admisibilidad depende de la convocatoria</x:v>
      </x:c>
      <x:c r="Q31" s="95" t="str">
        <x:v>Anual o regional</x:v>
      </x:c>
      <x:c r="R31" s="95" t="str">
        <x:v>Sin convocatoria abierta verificada</x:v>
      </x:c>
      <x:c r="S31" s="95" t="str">
        <x:v>Baja</x:v>
      </x:c>
      <x:c r="T31" s="95" t="str">
        <x:v>Empresa tecnológica con proyecto de I+D</x:v>
      </x:c>
      <x:c r="U31" s="95" t="str">
        <x:v>Revisar próxima convocatoria oficial</x:v>
      </x:c>
      <x:c r="V31" s="95" t="str">
        <x:v>https://www.corfo.gob.cl/sites/cpp/programas-y-convocatorias</x:v>
      </x:c>
      <x:c r="W31" s="121" t="str">
        <x:v>2026-08-28</x:v>
      </x:c>
      <x:c r="X31" s="96" t="str">
        <x:v>Media</x:v>
      </x:c>
    </x:row>
    <x:row r="32">
      <x:c r="A32" s="93" t="str">
        <x:v>INS-028</x:v>
      </x:c>
      <x:c r="B32" s="95" t="str">
        <x:v>Corfo</x:v>
      </x:c>
      <x:c r="C32" s="95" t="str">
        <x:v>Innova Región</x:v>
      </x:c>
      <x:c r="D32" s="95" t="str">
        <x:v>Subsidio</x:v>
      </x:c>
      <x:c r="E32" s="95" t="str">
        <x:v>Sí</x:v>
      </x:c>
      <x:c r="F32" s="95" t="str">
        <x:v>Incubación; ventas formales baja escala</x:v>
      </x:c>
      <x:c r="G32" s="95" t="str">
        <x:v>Persona jurídica</x:v>
      </x:c>
      <x:c r="H32" s="95" t="str">
        <x:v>Empresas con innovación regional</x:v>
      </x:c>
      <x:c r="I32" s="95" t="str">
        <x:v>Nacional / regional</x:v>
      </x:c>
      <x:c r="J32" s="95" t="str">
        <x:v>Multisectorial</x:v>
      </x:c>
      <x:c r="K32" s="119"/>
      <x:c r="L32" s="120"/>
      <x:c r="M32" s="95" t="str">
        <x:v>Según bases</x:v>
      </x:c>
      <x:c r="N32" s="95" t="str">
        <x:v>Desarrollo y validación de innovación</x:v>
      </x:c>
      <x:c r="O32" s="95" t="str">
        <x:v>Impacto regional e innovación</x:v>
      </x:c>
      <x:c r="P32" s="95" t="str">
        <x:v>Admisibilidad depende de la convocatoria</x:v>
      </x:c>
      <x:c r="Q32" s="95" t="str">
        <x:v>Anual o regional</x:v>
      </x:c>
      <x:c r="R32" s="95" t="str">
        <x:v>Sin convocatoria abierta verificada</x:v>
      </x:c>
      <x:c r="S32" s="95" t="str">
        <x:v>Media</x:v>
      </x:c>
      <x:c r="T32" s="95" t="str">
        <x:v>Empresa innovadora con problema regional</x:v>
      </x:c>
      <x:c r="U32" s="95" t="str">
        <x:v>Revisar próxima convocatoria oficial</x:v>
      </x:c>
      <x:c r="V32" s="95" t="str">
        <x:v>https://www.corfo.gob.cl/sites/cpp/programas-y-convocatorias</x:v>
      </x:c>
      <x:c r="W32" s="121" t="str">
        <x:v>2026-08-28</x:v>
      </x:c>
      <x:c r="X32" s="96" t="str">
        <x:v>Media</x:v>
      </x:c>
    </x:row>
    <x:row r="33">
      <x:c r="A33" s="93" t="str">
        <x:v>INS-029</x:v>
      </x:c>
      <x:c r="B33" s="95" t="str">
        <x:v>INDAP</x:v>
      </x:c>
      <x:c r="C33" s="95" t="str">
        <x:v>Mi Primer Negocio Rural</x:v>
      </x:c>
      <x:c r="D33" s="95" t="str">
        <x:v>Subsidio</x:v>
      </x:c>
      <x:c r="E33" s="95" t="str">
        <x:v>Sí</x:v>
      </x:c>
      <x:c r="F33" s="95" t="str">
        <x:v>Idea; incubación; ventas informales</x:v>
      </x:c>
      <x:c r="G33" s="95" t="str">
        <x:v>Puede iniciar sin formalización; debe formalizar durante el proceso</x:v>
      </x:c>
      <x:c r="H33" s="95" t="str">
        <x:v>Personas de 18 a 40 años usuarias INDAP</x:v>
      </x:c>
      <x:c r="I33" s="95" t="str">
        <x:v>Regiones habilitadas; no incluye Magallanes en ficha revisada</x:v>
      </x:c>
      <x:c r="J33" s="95" t="str">
        <x:v>Agricultura y rural</x:v>
      </x:c>
      <x:c r="K33" s="119" t="n">
        <x:v>3500000</x:v>
      </x:c>
      <x:c r="L33" s="120" t="n">
        <x:v>0.95</x:v>
      </x:c>
      <x:c r="M33" s="95" t="str">
        <x:v>5% inversión</x:v>
      </x:c>
      <x:c r="N33" s="95" t="str">
        <x:v>Inversión, capital de trabajo y asistencia técnica</x:v>
      </x:c>
      <x:c r="O33" s="95" t="str">
        <x:v>Ser usuario INDAP, joven rural y presentar idea</x:v>
      </x:c>
      <x:c r="P33" s="95" t="str">
        <x:v>Admisibilidad depende de la convocatoria</x:v>
      </x:c>
      <x:c r="Q33" s="95" t="str">
        <x:v>Anual o regional</x:v>
      </x:c>
      <x:c r="R33" s="95" t="str">
        <x:v>Programa disponible según gestión regional</x:v>
      </x:c>
      <x:c r="S33" s="95" t="str">
        <x:v>Alta</x:v>
      </x:c>
      <x:c r="T33" s="95" t="str">
        <x:v>Joven rural con idea productiva</x:v>
      </x:c>
      <x:c r="U33" s="95" t="str">
        <x:v>Revisar próxima convocatoria oficial</x:v>
      </x:c>
      <x:c r="V33" s="95" t="str">
        <x:v>https://www.indap.gob.cl/plataforma-de-servicios/mi-primer-negocio-rural</x:v>
      </x:c>
      <x:c r="W33" s="121" t="str">
        <x:v>2026-08-28</x:v>
      </x:c>
      <x:c r="X33" s="96" t="str">
        <x:v>Media</x:v>
      </x:c>
    </x:row>
    <x:row r="34">
      <x:c r="A34" s="93" t="str">
        <x:v>INS-030</x:v>
      </x:c>
      <x:c r="B34" s="95" t="str">
        <x:v>INDAP</x:v>
      </x:c>
      <x:c r="C34" s="95" t="str">
        <x:v>Programa de Desarrollo de Inversiones (PDI)</x:v>
      </x:c>
      <x:c r="D34" s="95" t="str">
        <x:v>Subsidio</x:v>
      </x:c>
      <x:c r="E34" s="95" t="str">
        <x:v>Sí</x:v>
      </x:c>
      <x:c r="F34" s="95" t="str">
        <x:v>Ventas formales baja escala</x:v>
      </x:c>
      <x:c r="G34" s="95" t="str">
        <x:v>Usuario INDAP</x:v>
      </x:c>
      <x:c r="H34" s="95" t="str">
        <x:v>Agricultores y empresas campesinas</x:v>
      </x:c>
      <x:c r="I34" s="95" t="str">
        <x:v>Nacional / regional</x:v>
      </x:c>
      <x:c r="J34" s="95" t="str">
        <x:v>Agricultura y rural</x:v>
      </x:c>
      <x:c r="K34" s="119"/>
      <x:c r="L34" s="120" t="n">
        <x:v>0.7</x:v>
      </x:c>
      <x:c r="M34" s="95" t="str">
        <x:v>30%; hasta 10% en focos priorizados</x:v>
      </x:c>
      <x:c r="N34" s="95" t="str">
        <x:v>Infraestructura, equipos y tecnología productiva/comercial</x:v>
      </x:c>
      <x:c r="O34" s="95" t="str">
        <x:v>Proyecto viable y acreditación INDAP</x:v>
      </x:c>
      <x:c r="P34" s="95" t="str">
        <x:v>Admisibilidad depende de la convocatoria</x:v>
      </x:c>
      <x:c r="Q34" s="95" t="str">
        <x:v>Anual o regional</x:v>
      </x:c>
      <x:c r="R34" s="95" t="str">
        <x:v>Llamados regionales</x:v>
      </x:c>
      <x:c r="S34" s="95" t="str">
        <x:v>Alta</x:v>
      </x:c>
      <x:c r="T34" s="95" t="str">
        <x:v>Unidad productiva rural con inversión definida</x:v>
      </x:c>
      <x:c r="U34" s="95" t="str">
        <x:v>Revisar próxima convocatoria oficial</x:v>
      </x:c>
      <x:c r="V34" s="95" t="str">
        <x:v>https://www.indap.gob.cl/plataforma-de-servicios/programa-de-desarrollo-de-inversiones-pdi</x:v>
      </x:c>
      <x:c r="W34" s="121" t="str">
        <x:v>2026-08-28</x:v>
      </x:c>
      <x:c r="X34" s="96" t="str">
        <x:v>Media</x:v>
      </x:c>
    </x:row>
    <x:row r="35">
      <x:c r="A35" s="93" t="str">
        <x:v>INS-031</x:v>
      </x:c>
      <x:c r="B35" s="95" t="str">
        <x:v>INDAP</x:v>
      </x:c>
      <x:c r="C35" s="95" t="str">
        <x:v>Servicio de Asesoría Técnica (SAT) - inversiones</x:v>
      </x:c>
      <x:c r="D35" s="95" t="str">
        <x:v>Asesoría y subsidio</x:v>
      </x:c>
      <x:c r="E35" s="95" t="str">
        <x:v>Sí</x:v>
      </x:c>
      <x:c r="F35" s="95" t="str">
        <x:v>Ventas formales baja escala</x:v>
      </x:c>
      <x:c r="G35" s="95" t="str">
        <x:v>Usuario INDAP con actividad formal según línea</x:v>
      </x:c>
      <x:c r="H35" s="95" t="str">
        <x:v>Productores comerciales</x:v>
      </x:c>
      <x:c r="I35" s="95" t="str">
        <x:v>Nacional / regional</x:v>
      </x:c>
      <x:c r="J35" s="95" t="str">
        <x:v>Agricultura y rural</x:v>
      </x:c>
      <x:c r="K35" s="119" t="n">
        <x:v>3500000</x:v>
      </x:c>
      <x:c r="L35" s="120" t="n">
        <x:v>0.7</x:v>
      </x:c>
      <x:c r="M35" s="95" t="str">
        <x:v>30%</x:v>
      </x:c>
      <x:c r="N35" s="95" t="str">
        <x:v>Asesoría e inversiones complementarias</x:v>
      </x:c>
      <x:c r="O35" s="95" t="str">
        <x:v>Diagnóstico y plan de trabajo</x:v>
      </x:c>
      <x:c r="P35" s="95" t="str">
        <x:v>Admisibilidad depende de la convocatoria</x:v>
      </x:c>
      <x:c r="Q35" s="95" t="str">
        <x:v>Anual o regional</x:v>
      </x:c>
      <x:c r="R35" s="95" t="str">
        <x:v>Disponible según agencia de área</x:v>
      </x:c>
      <x:c r="S35" s="95" t="str">
        <x:v>Media</x:v>
      </x:c>
      <x:c r="T35" s="95" t="str">
        <x:v>Productor rural que requiere asistencia especializada</x:v>
      </x:c>
      <x:c r="U35" s="95" t="str">
        <x:v>Revisar próxima convocatoria oficial</x:v>
      </x:c>
      <x:c r="V35" s="95" t="str">
        <x:v>https://www.indap.gob.cl/plataforma-de-servicios/servicio-de-asesoria-tecnica-sat</x:v>
      </x:c>
      <x:c r="W35" s="121" t="str">
        <x:v>2026-08-28</x:v>
      </x:c>
      <x:c r="X35" s="96" t="str">
        <x:v>Media</x:v>
      </x:c>
    </x:row>
    <x:row r="36">
      <x:c r="A36" s="93" t="str">
        <x:v>INS-032</x:v>
      </x:c>
      <x:c r="B36" s="95" t="str">
        <x:v>INDAP</x:v>
      </x:c>
      <x:c r="C36" s="95" t="str">
        <x:v>Programa Cultivos Tradicionales</x:v>
      </x:c>
      <x:c r="D36" s="95" t="str">
        <x:v>Subsidio</x:v>
      </x:c>
      <x:c r="E36" s="95" t="str">
        <x:v>Sí</x:v>
      </x:c>
      <x:c r="F36" s="95" t="str">
        <x:v>Ventas informales; ventas formales baja escala</x:v>
      </x:c>
      <x:c r="G36" s="95" t="str">
        <x:v>Usuario INDAP</x:v>
      </x:c>
      <x:c r="H36" s="95" t="str">
        <x:v>Pequeños productores de cultivos priorizados</x:v>
      </x:c>
      <x:c r="I36" s="95" t="str">
        <x:v>Nacional / regional</x:v>
      </x:c>
      <x:c r="J36" s="95" t="str">
        <x:v>Agricultura</x:v>
      </x:c>
      <x:c r="K36" s="119" t="n">
        <x:v>4500000</x:v>
      </x:c>
      <x:c r="L36" s="120" t="n">
        <x:v>0.7</x:v>
      </x:c>
      <x:c r="M36" s="95" t="str">
        <x:v>30%</x:v>
      </x:c>
      <x:c r="N36" s="95" t="str">
        <x:v>Insumos, servicios e inversiones</x:v>
      </x:c>
      <x:c r="O36" s="95" t="str">
        <x:v>Cultivo y territorio habilitado</x:v>
      </x:c>
      <x:c r="P36" s="95" t="str">
        <x:v>Admisibilidad depende de la convocatoria</x:v>
      </x:c>
      <x:c r="Q36" s="95" t="str">
        <x:v>Anual o regional</x:v>
      </x:c>
      <x:c r="R36" s="95" t="str">
        <x:v>Disponible según temporada y región</x:v>
      </x:c>
      <x:c r="S36" s="95" t="str">
        <x:v>Media</x:v>
      </x:c>
      <x:c r="T36" s="95" t="str">
        <x:v>Pequeño productor de rubro priorizado</x:v>
      </x:c>
      <x:c r="U36" s="95" t="str">
        <x:v>Revisar próxima convocatoria oficial</x:v>
      </x:c>
      <x:c r="V36" s="95" t="str">
        <x:v>https://www.indap.gob.cl/plataforma-de-servicios/programa-cultivos-tradicionales</x:v>
      </x:c>
      <x:c r="W36" s="121" t="str">
        <x:v>2026-08-28</x:v>
      </x:c>
      <x:c r="X36" s="96" t="str">
        <x:v>Media</x:v>
      </x:c>
    </x:row>
    <x:row r="37">
      <x:c r="A37" s="93" t="str">
        <x:v>INS-033</x:v>
      </x:c>
      <x:c r="B37" s="95" t="str">
        <x:v>INDAP</x:v>
      </x:c>
      <x:c r="C37" s="95" t="str">
        <x:v>Programa de Riego Intrapredial</x:v>
      </x:c>
      <x:c r="D37" s="95" t="str">
        <x:v>Subsidio</x:v>
      </x:c>
      <x:c r="E37" s="95" t="str">
        <x:v>Sí</x:v>
      </x:c>
      <x:c r="F37" s="95" t="str">
        <x:v>Ventas informales; ventas formales baja escala</x:v>
      </x:c>
      <x:c r="G37" s="95" t="str">
        <x:v>Usuario INDAP</x:v>
      </x:c>
      <x:c r="H37" s="95" t="str">
        <x:v>Productores individuales u organizaciones</x:v>
      </x:c>
      <x:c r="I37" s="95" t="str">
        <x:v>Nacional / regional</x:v>
      </x:c>
      <x:c r="J37" s="95" t="str">
        <x:v>Agricultura</x:v>
      </x:c>
      <x:c r="K37" s="119" t="n">
        <x:v>20000000</x:v>
      </x:c>
      <x:c r="L37" s="120" t="n">
        <x:v>0.95</x:v>
      </x:c>
      <x:c r="M37" s="95" t="str">
        <x:v>5%</x:v>
      </x:c>
      <x:c r="N37" s="95" t="str">
        <x:v>Obras y equipos de riego intrapredial</x:v>
      </x:c>
      <x:c r="O37" s="95" t="str">
        <x:v>Proyecto técnico y derechos/agua según bases</x:v>
      </x:c>
      <x:c r="P37" s="95" t="str">
        <x:v>Admisibilidad depende de la convocatoria</x:v>
      </x:c>
      <x:c r="Q37" s="95" t="str">
        <x:v>Anual o regional</x:v>
      </x:c>
      <x:c r="R37" s="95" t="str">
        <x:v>Concursos regionales</x:v>
      </x:c>
      <x:c r="S37" s="95" t="str">
        <x:v>Media</x:v>
      </x:c>
      <x:c r="T37" s="95" t="str">
        <x:v>Productor con brecha hídrica e inversión definida</x:v>
      </x:c>
      <x:c r="U37" s="95" t="str">
        <x:v>Revisar próxima convocatoria oficial</x:v>
      </x:c>
      <x:c r="V37" s="95" t="str">
        <x:v>https://www.indap.gob.cl/plataforma-de-servicios/programa-de-riego-intrapredial-pri</x:v>
      </x:c>
      <x:c r="W37" s="121" t="str">
        <x:v>2026-08-28</x:v>
      </x:c>
      <x:c r="X37" s="96" t="str">
        <x:v>Media</x:v>
      </x:c>
    </x:row>
    <x:row r="38">
      <x:c r="A38" s="93" t="str">
        <x:v>INS-034</x:v>
      </x:c>
      <x:c r="B38" s="95" t="str">
        <x:v>INDAP</x:v>
      </x:c>
      <x:c r="C38" s="95" t="str">
        <x:v>Obras Menores de Riego</x:v>
      </x:c>
      <x:c r="D38" s="95" t="str">
        <x:v>Subsidio</x:v>
      </x:c>
      <x:c r="E38" s="95" t="str">
        <x:v>Sí</x:v>
      </x:c>
      <x:c r="F38" s="95" t="str">
        <x:v>Ventas informales; ventas formales baja escala</x:v>
      </x:c>
      <x:c r="G38" s="95" t="str">
        <x:v>Usuario INDAP</x:v>
      </x:c>
      <x:c r="H38" s="95" t="str">
        <x:v>Productores u organizaciones</x:v>
      </x:c>
      <x:c r="I38" s="95" t="str">
        <x:v>Nacional / regional</x:v>
      </x:c>
      <x:c r="J38" s="95" t="str">
        <x:v>Agricultura</x:v>
      </x:c>
      <x:c r="K38" s="119" t="n">
        <x:v>35000000</x:v>
      </x:c>
      <x:c r="L38" s="120" t="n">
        <x:v>0.95</x:v>
      </x:c>
      <x:c r="M38" s="95" t="str">
        <x:v>5%</x:v>
      </x:c>
      <x:c r="N38" s="95" t="str">
        <x:v>Obras menores de riego y drenaje</x:v>
      </x:c>
      <x:c r="O38" s="95" t="str">
        <x:v>Proyecto técnico y pertinencia regional</x:v>
      </x:c>
      <x:c r="P38" s="95" t="str">
        <x:v>Admisibilidad depende de la convocatoria</x:v>
      </x:c>
      <x:c r="Q38" s="95" t="str">
        <x:v>Anual o regional</x:v>
      </x:c>
      <x:c r="R38" s="95" t="str">
        <x:v>Llamados regionales</x:v>
      </x:c>
      <x:c r="S38" s="95" t="str">
        <x:v>Media</x:v>
      </x:c>
      <x:c r="T38" s="95" t="str">
        <x:v>Agricultor con obra pequeña y urgente</x:v>
      </x:c>
      <x:c r="U38" s="95" t="str">
        <x:v>Revisar próxima convocatoria oficial</x:v>
      </x:c>
      <x:c r="V38" s="95" t="str">
        <x:v>https://www.indap.gob.cl/plataforma-de-servicios/programa-obras-menores-de-riego-promr</x:v>
      </x:c>
      <x:c r="W38" s="121" t="str">
        <x:v>2026-08-28</x:v>
      </x:c>
      <x:c r="X38" s="96" t="str">
        <x:v>Media</x:v>
      </x:c>
    </x:row>
    <x:row r="39">
      <x:c r="A39" s="93" t="str">
        <x:v>INS-035</x:v>
      </x:c>
      <x:c r="B39" s="95" t="str">
        <x:v>INDAP</x:v>
      </x:c>
      <x:c r="C39" s="95" t="str">
        <x:v>Riego Asociativo</x:v>
      </x:c>
      <x:c r="D39" s="95" t="str">
        <x:v>Subsidio</x:v>
      </x:c>
      <x:c r="E39" s="95" t="str">
        <x:v>Sí</x:v>
      </x:c>
      <x:c r="F39" s="95" t="str">
        <x:v>Ventas formales baja escala</x:v>
      </x:c>
      <x:c r="G39" s="95" t="str">
        <x:v>Organización usuaria INDAP</x:v>
      </x:c>
      <x:c r="H39" s="95" t="str">
        <x:v>Grupos y organizaciones de agricultores</x:v>
      </x:c>
      <x:c r="I39" s="95" t="str">
        <x:v>Nacional / regional</x:v>
      </x:c>
      <x:c r="J39" s="95" t="str">
        <x:v>Agricultura</x:v>
      </x:c>
      <x:c r="K39" s="119" t="n">
        <x:v>90000000</x:v>
      </x:c>
      <x:c r="L39" s="120" t="n">
        <x:v>0.95</x:v>
      </x:c>
      <x:c r="M39" s="95" t="str">
        <x:v>5%</x:v>
      </x:c>
      <x:c r="N39" s="95" t="str">
        <x:v>Obras de riego asociativas</x:v>
      </x:c>
      <x:c r="O39" s="95" t="str">
        <x:v>Organización y proyecto técnico</x:v>
      </x:c>
      <x:c r="P39" s="95" t="str">
        <x:v>Admisibilidad depende de la convocatoria</x:v>
      </x:c>
      <x:c r="Q39" s="95" t="str">
        <x:v>Anual o regional</x:v>
      </x:c>
      <x:c r="R39" s="95" t="str">
        <x:v>Llamados regionales</x:v>
      </x:c>
      <x:c r="S39" s="95" t="str">
        <x:v>Baja</x:v>
      </x:c>
      <x:c r="T39" s="95" t="str">
        <x:v>Grupo de productores con necesidad hídrica común</x:v>
      </x:c>
      <x:c r="U39" s="95" t="str">
        <x:v>Revisar próxima convocatoria oficial</x:v>
      </x:c>
      <x:c r="V39" s="95" t="str">
        <x:v>https://www.indap.gob.cl/plataforma-de-servicios/programa-de-riego-asociativo-pra</x:v>
      </x:c>
      <x:c r="W39" s="121" t="str">
        <x:v>2026-08-28</x:v>
      </x:c>
      <x:c r="X39" s="96" t="str">
        <x:v>Media</x:v>
      </x:c>
    </x:row>
    <x:row r="40">
      <x:c r="A40" s="93" t="str">
        <x:v>INS-036</x:v>
      </x:c>
      <x:c r="B40" s="95" t="str">
        <x:v>INDAP</x:v>
      </x:c>
      <x:c r="C40" s="95" t="str">
        <x:v>Incentivo de Fortalecimiento Productivo PRODESAL/PDTI</x:v>
      </x:c>
      <x:c r="D40" s="95" t="str">
        <x:v>Subsidio</x:v>
      </x:c>
      <x:c r="E40" s="95" t="str">
        <x:v>Sí</x:v>
      </x:c>
      <x:c r="F40" s="95" t="str">
        <x:v>Ventas informales; ventas formales baja escala</x:v>
      </x:c>
      <x:c r="G40" s="95" t="str">
        <x:v>Usuario de programa local</x:v>
      </x:c>
      <x:c r="H40" s="95" t="str">
        <x:v>Usuarios PRODESAL o PDTI</x:v>
      </x:c>
      <x:c r="I40" s="95" t="str">
        <x:v>Nacional / regional</x:v>
      </x:c>
      <x:c r="J40" s="95" t="str">
        <x:v>Agricultura y rural</x:v>
      </x:c>
      <x:c r="K40" s="119"/>
      <x:c r="L40" s="120"/>
      <x:c r="M40" s="95" t="str">
        <x:v>Según llamado comunal</x:v>
      </x:c>
      <x:c r="N40" s="95" t="str">
        <x:v>Activos e inversiones productivas</x:v>
      </x:c>
      <x:c r="O40" s="95" t="str">
        <x:v>Pertenecer al programa y comuna convocante</x:v>
      </x:c>
      <x:c r="P40" s="95" t="str">
        <x:v>Admisibilidad depende de la convocatoria</x:v>
      </x:c>
      <x:c r="Q40" s="95" t="str">
        <x:v>Anual o regional</x:v>
      </x:c>
      <x:c r="R40" s="95" t="str">
        <x:v>Concursos comunales 2026 observados</x:v>
      </x:c>
      <x:c r="S40" s="95" t="str">
        <x:v>Alta</x:v>
      </x:c>
      <x:c r="T40" s="95" t="str">
        <x:v>Emprendimiento rural acompañado por PRODESAL/PDTI</x:v>
      </x:c>
      <x:c r="U40" s="95" t="str">
        <x:v>Revisar próxima convocatoria oficial</x:v>
      </x:c>
      <x:c r="V40" s="95" t="str">
        <x:v>https://www.indap.gob.cl/</x:v>
      </x:c>
      <x:c r="W40" s="121" t="str">
        <x:v>2026-08-28</x:v>
      </x:c>
      <x:c r="X40" s="96" t="str">
        <x:v>Media</x:v>
      </x:c>
    </x:row>
    <x:row r="41">
      <x:c r="A41" s="93" t="str">
        <x:v>INS-037</x:v>
      </x:c>
      <x:c r="B41" s="95" t="str">
        <x:v>CONADI</x:v>
      </x:c>
      <x:c r="C41" s="95" t="str">
        <x:v>Subsidio Fomento a la Economía Indígena Urbana/Rural</x:v>
      </x:c>
      <x:c r="D41" s="95" t="str">
        <x:v>Subsidio</x:v>
      </x:c>
      <x:c r="E41" s="95" t="str">
        <x:v>Sí</x:v>
      </x:c>
      <x:c r="F41" s="95" t="str">
        <x:v>Idea; ventas informales; ventas formales baja escala</x:v>
      </x:c>
      <x:c r="G41" s="95" t="str">
        <x:v>Variable por línea</x:v>
      </x:c>
      <x:c r="H41" s="95" t="str">
        <x:v>Personas indígenas mayores de 18 años</x:v>
      </x:c>
      <x:c r="I41" s="95" t="str">
        <x:v>Concursos regionales</x:v>
      </x:c>
      <x:c r="J41" s="95" t="str">
        <x:v>Multisectorial</x:v>
      </x:c>
      <x:c r="K41" s="119"/>
      <x:c r="L41" s="120"/>
      <x:c r="M41" s="95" t="str">
        <x:v>Según bases</x:v>
      </x:c>
      <x:c r="N41" s="95" t="str">
        <x:v>Activos, equipamiento y fortalecimiento productivo</x:v>
      </x:c>
      <x:c r="O41" s="95" t="str">
        <x:v>Acreditar calidad indígena y residencia</x:v>
      </x:c>
      <x:c r="P41" s="95" t="str">
        <x:v>Admisibilidad depende de la convocatoria</x:v>
      </x:c>
      <x:c r="Q41" s="95" t="str">
        <x:v>Anual o regional</x:v>
      </x:c>
      <x:c r="R41" s="95" t="str">
        <x:v>Concursos regionales 2026</x:v>
      </x:c>
      <x:c r="S41" s="95" t="str">
        <x:v>Alta</x:v>
      </x:c>
      <x:c r="T41" s="95" t="str">
        <x:v>Emprendedor indígena con proyecto productivo</x:v>
      </x:c>
      <x:c r="U41" s="95" t="str">
        <x:v>Revisar próxima convocatoria oficial</x:v>
      </x:c>
      <x:c r="V41" s="95" t="str">
        <x:v>https://www.conadi.gob.cl/concursos-publicos</x:v>
      </x:c>
      <x:c r="W41" s="121" t="str">
        <x:v>2026-08-28</x:v>
      </x:c>
      <x:c r="X41" s="96" t="str">
        <x:v>Media</x:v>
      </x:c>
    </x:row>
    <x:row r="42">
      <x:c r="A42" s="93" t="str">
        <x:v>INS-038</x:v>
      </x:c>
      <x:c r="B42" s="95" t="str">
        <x:v>CONADI</x:v>
      </x:c>
      <x:c r="C42" s="95" t="str">
        <x:v>Microemprendimiento Indígena</x:v>
      </x:c>
      <x:c r="D42" s="95" t="str">
        <x:v>Subsidio</x:v>
      </x:c>
      <x:c r="E42" s="95" t="str">
        <x:v>Sí</x:v>
      </x:c>
      <x:c r="F42" s="95" t="str">
        <x:v>Idea; ventas informales</x:v>
      </x:c>
      <x:c r="G42" s="95" t="str">
        <x:v>Según bases regionales</x:v>
      </x:c>
      <x:c r="H42" s="95" t="str">
        <x:v>Personas indígenas</x:v>
      </x:c>
      <x:c r="I42" s="95" t="str">
        <x:v>Regional</x:v>
      </x:c>
      <x:c r="J42" s="95" t="str">
        <x:v>Multisectorial</x:v>
      </x:c>
      <x:c r="K42" s="119"/>
      <x:c r="L42" s="120"/>
      <x:c r="M42" s="95" t="str">
        <x:v>Según bases</x:v>
      </x:c>
      <x:c r="N42" s="95" t="str">
        <x:v>Capital e inversión inicial</x:v>
      </x:c>
      <x:c r="O42" s="95" t="str">
        <x:v>Calidad indígena, territorio y vulnerabilidad según línea</x:v>
      </x:c>
      <x:c r="P42" s="95" t="str">
        <x:v>Admisibilidad depende de la convocatoria</x:v>
      </x:c>
      <x:c r="Q42" s="95" t="str">
        <x:v>Anual o regional</x:v>
      </x:c>
      <x:c r="R42" s="95" t="str">
        <x:v>Oferta regional variable</x:v>
      </x:c>
      <x:c r="S42" s="95" t="str">
        <x:v>Alta</x:v>
      </x:c>
      <x:c r="T42" s="95" t="str">
        <x:v>Persona indígena que inicia o fortalece actividad pequeña</x:v>
      </x:c>
      <x:c r="U42" s="95" t="str">
        <x:v>Revisar próxima convocatoria oficial</x:v>
      </x:c>
      <x:c r="V42" s="95" t="str">
        <x:v>https://www.conadi.gob.cl/tramites-y-servicios</x:v>
      </x:c>
      <x:c r="W42" s="121" t="str">
        <x:v>2026-08-28</x:v>
      </x:c>
      <x:c r="X42" s="96" t="str">
        <x:v>Media</x:v>
      </x:c>
    </x:row>
    <x:row r="43">
      <x:c r="A43" s="93" t="str">
        <x:v>INS-039</x:v>
      </x:c>
      <x:c r="B43" s="95" t="str">
        <x:v>CONADI</x:v>
      </x:c>
      <x:c r="C43" s="95" t="str">
        <x:v>Kume Mongen Pu Zomo</x:v>
      </x:c>
      <x:c r="D43" s="95" t="str">
        <x:v>Subsidio</x:v>
      </x:c>
      <x:c r="E43" s="95" t="str">
        <x:v>Sí</x:v>
      </x:c>
      <x:c r="F43" s="95" t="str">
        <x:v>Idea; ventas informales; ventas formales baja escala</x:v>
      </x:c>
      <x:c r="G43" s="95" t="str">
        <x:v>Según bases</x:v>
      </x:c>
      <x:c r="H43" s="95" t="str">
        <x:v>Mujeres indígenas</x:v>
      </x:c>
      <x:c r="I43" s="95" t="str">
        <x:v>Regional</x:v>
      </x:c>
      <x:c r="J43" s="95" t="str">
        <x:v>Multisectorial</x:v>
      </x:c>
      <x:c r="K43" s="119"/>
      <x:c r="L43" s="120"/>
      <x:c r="M43" s="95" t="str">
        <x:v>Según bases</x:v>
      </x:c>
      <x:c r="N43" s="95" t="str">
        <x:v>Fomento productivo y autonomía económica</x:v>
      </x:c>
      <x:c r="O43" s="95" t="str">
        <x:v>Ser mujer indígena del territorio convocado</x:v>
      </x:c>
      <x:c r="P43" s="95" t="str">
        <x:v>Admisibilidad depende de la convocatoria</x:v>
      </x:c>
      <x:c r="Q43" s="95" t="str">
        <x:v>Anual o regional</x:v>
      </x:c>
      <x:c r="R43" s="95" t="str">
        <x:v>Línea registrada; convocatoria vigente por verificar</x:v>
      </x:c>
      <x:c r="S43" s="95" t="str">
        <x:v>Media</x:v>
      </x:c>
      <x:c r="T43" s="95" t="str">
        <x:v>Emprendedora indígena en región habilitada</x:v>
      </x:c>
      <x:c r="U43" s="95" t="str">
        <x:v>Revisar próxima convocatoria oficial</x:v>
      </x:c>
      <x:c r="V43" s="95" t="str">
        <x:v>https://www.conadi.gob.cl/tramites-y-servicios</x:v>
      </x:c>
      <x:c r="W43" s="121" t="str">
        <x:v>2026-08-28</x:v>
      </x:c>
      <x:c r="X43" s="96" t="str">
        <x:v>Media</x:v>
      </x:c>
    </x:row>
    <x:row r="44">
      <x:c r="A44" s="93" t="str">
        <x:v>INS-040</x:v>
      </x:c>
      <x:c r="B44" s="95" t="str">
        <x:v>ProChile</x:v>
      </x:c>
      <x:c r="C44" s="95" t="str">
        <x:v>Concurso Silvoagropecuario</x:v>
      </x:c>
      <x:c r="D44" s="95" t="str">
        <x:v>Subsidio</x:v>
      </x:c>
      <x:c r="E44" s="95" t="str">
        <x:v>Sí</x:v>
      </x:c>
      <x:c r="F44" s="95" t="str">
        <x:v>Ventas formales baja escala</x:v>
      </x:c>
      <x:c r="G44" s="95" t="str">
        <x:v>Inicio de actividades en primera categoría</x:v>
      </x:c>
      <x:c r="H44" s="95" t="str">
        <x:v>Empresas y personas con oferta exportable</x:v>
      </x:c>
      <x:c r="I44" s="95" t="str">
        <x:v>Nacional / regional</x:v>
      </x:c>
      <x:c r="J44" s="95" t="str">
        <x:v>Silvoagropecuario</x:v>
      </x:c>
      <x:c r="K44" s="119" t="n">
        <x:v>8000000</x:v>
      </x:c>
      <x:c r="L44" s="120" t="n">
        <x:v>0.6</x:v>
      </x:c>
      <x:c r="M44" s="95" t="str">
        <x:v>40% o más según ventas</x:v>
      </x:c>
      <x:c r="N44" s="95" t="str">
        <x:v>Promoción internacional y acceso a mercados</x:v>
      </x:c>
      <x:c r="O44" s="95" t="str">
        <x:v>Oferta exportable y proyecto de internacionalización</x:v>
      </x:c>
      <x:c r="P44" s="95" t="str">
        <x:v>Admisibilidad depende de la convocatoria</x:v>
      </x:c>
      <x:c r="Q44" s="95" t="str">
        <x:v>Anual o regional</x:v>
      </x:c>
      <x:c r="R44" s="95" t="str">
        <x:v>Proceso 2027 cerró el 18-08-2026</x:v>
      </x:c>
      <x:c r="S44" s="95" t="str">
        <x:v>Baja</x:v>
      </x:c>
      <x:c r="T44" s="95" t="str">
        <x:v>Empresa formal con ventas y objetivo exportador</x:v>
      </x:c>
      <x:c r="U44" s="95" t="str">
        <x:v>Revisar próxima convocatoria oficial</x:v>
      </x:c>
      <x:c r="V44" s="95" t="str">
        <x:v>https://www.prochile.gob.cl/herramientas/concursos</x:v>
      </x:c>
      <x:c r="W44" s="121" t="str">
        <x:v>2026-08-28</x:v>
      </x:c>
      <x:c r="X44" s="96" t="str">
        <x:v>Media</x:v>
      </x:c>
    </x:row>
    <x:row r="45">
      <x:c r="A45" s="93" t="str">
        <x:v>INS-041</x:v>
      </x:c>
      <x:c r="B45" s="95" t="str">
        <x:v>ProChile</x:v>
      </x:c>
      <x:c r="C45" s="95" t="str">
        <x:v>Concurso Servicios</x:v>
      </x:c>
      <x:c r="D45" s="95" t="str">
        <x:v>Subsidio</x:v>
      </x:c>
      <x:c r="E45" s="95" t="str">
        <x:v>Sí</x:v>
      </x:c>
      <x:c r="F45" s="95" t="str">
        <x:v>Ventas formales baja escala</x:v>
      </x:c>
      <x:c r="G45" s="95" t="str">
        <x:v>Persona jurídica u organización según línea</x:v>
      </x:c>
      <x:c r="H45" s="95" t="str">
        <x:v>Empresas u organizaciones de servicios exportables</x:v>
      </x:c>
      <x:c r="I45" s="95" t="str">
        <x:v>Nacional / regional</x:v>
      </x:c>
      <x:c r="J45" s="95" t="str">
        <x:v>Servicios</x:v>
      </x:c>
      <x:c r="K45" s="119"/>
      <x:c r="L45" s="120"/>
      <x:c r="M45" s="95" t="str">
        <x:v>Variable por tamaño</x:v>
      </x:c>
      <x:c r="N45" s="95" t="str">
        <x:v>Promoción y prospección internacional</x:v>
      </x:c>
      <x:c r="O45" s="95" t="str">
        <x:v>Potencial exportador y elegibilidad sectorial</x:v>
      </x:c>
      <x:c r="P45" s="95" t="str">
        <x:v>Admisibilidad depende de la convocatoria</x:v>
      </x:c>
      <x:c r="Q45" s="95" t="str">
        <x:v>Anual o regional</x:v>
      </x:c>
      <x:c r="R45" s="95" t="str">
        <x:v>Proceso 2027 cerrado</x:v>
      </x:c>
      <x:c r="S45" s="95" t="str">
        <x:v>Baja</x:v>
      </x:c>
      <x:c r="T45" s="95" t="str">
        <x:v>Servicio formal con estrategia exportadora</x:v>
      </x:c>
      <x:c r="U45" s="95" t="str">
        <x:v>Revisar próxima convocatoria oficial</x:v>
      </x:c>
      <x:c r="V45" s="95" t="str">
        <x:v>https://www.prochile.gob.cl/herramientas/concursos</x:v>
      </x:c>
      <x:c r="W45" s="121" t="str">
        <x:v>2026-08-28</x:v>
      </x:c>
      <x:c r="X45" s="96" t="str">
        <x:v>Media</x:v>
      </x:c>
    </x:row>
    <x:row r="46">
      <x:c r="A46" s="93" t="str">
        <x:v>INS-042</x:v>
      </x:c>
      <x:c r="B46" s="95" t="str">
        <x:v>ProChile</x:v>
      </x:c>
      <x:c r="C46" s="95" t="str">
        <x:v>Concurso Industrias Creativas</x:v>
      </x:c>
      <x:c r="D46" s="95" t="str">
        <x:v>Subsidio</x:v>
      </x:c>
      <x:c r="E46" s="95" t="str">
        <x:v>Sí</x:v>
      </x:c>
      <x:c r="F46" s="95" t="str">
        <x:v>Ventas formales baja escala</x:v>
      </x:c>
      <x:c r="G46" s="95" t="str">
        <x:v>Persona jurídica u organización según línea</x:v>
      </x:c>
      <x:c r="H46" s="95" t="str">
        <x:v>Empresas creativas con potencial exportador</x:v>
      </x:c>
      <x:c r="I46" s="95" t="str">
        <x:v>Nacional / regional</x:v>
      </x:c>
      <x:c r="J46" s="95" t="str">
        <x:v>Industrias creativas</x:v>
      </x:c>
      <x:c r="K46" s="119"/>
      <x:c r="L46" s="120"/>
      <x:c r="M46" s="95" t="str">
        <x:v>Variable</x:v>
      </x:c>
      <x:c r="N46" s="95" t="str">
        <x:v>Promoción internacional</x:v>
      </x:c>
      <x:c r="O46" s="95" t="str">
        <x:v>Oferta creativa exportable</x:v>
      </x:c>
      <x:c r="P46" s="95" t="str">
        <x:v>Admisibilidad depende de la convocatoria</x:v>
      </x:c>
      <x:c r="Q46" s="95" t="str">
        <x:v>Anual o regional</x:v>
      </x:c>
      <x:c r="R46" s="95" t="str">
        <x:v>Proceso 2027 cerrado</x:v>
      </x:c>
      <x:c r="S46" s="95" t="str">
        <x:v>Baja</x:v>
      </x:c>
      <x:c r="T46" s="95" t="str">
        <x:v>Empresa creativa formal con mercado internacional</x:v>
      </x:c>
      <x:c r="U46" s="95" t="str">
        <x:v>Revisar próxima convocatoria oficial</x:v>
      </x:c>
      <x:c r="V46" s="95" t="str">
        <x:v>https://www.prochile.gob.cl/herramientas/concursos</x:v>
      </x:c>
      <x:c r="W46" s="121" t="str">
        <x:v>2026-08-28</x:v>
      </x:c>
      <x:c r="X46" s="96" t="str">
        <x:v>Media</x:v>
      </x:c>
    </x:row>
    <x:row r="47">
      <x:c r="A47" s="93" t="str">
        <x:v>INS-043</x:v>
      </x:c>
      <x:c r="B47" s="95" t="str">
        <x:v>FIA</x:v>
      </x:c>
      <x:c r="C47" s="95" t="str">
        <x:v>Convocatoria Nacional de Innovación Línea 1</x:v>
      </x:c>
      <x:c r="D47" s="95" t="str">
        <x:v>Subsidio</x:v>
      </x:c>
      <x:c r="E47" s="95" t="str">
        <x:v>Sí</x:v>
      </x:c>
      <x:c r="F47" s="95" t="str">
        <x:v>Idea; incubación</x:v>
      </x:c>
      <x:c r="G47" s="95" t="str">
        <x:v>Persona jurídica según bases</x:v>
      </x:c>
      <x:c r="H47" s="95" t="str">
        <x:v>Micro y pequeñas empresas u organizaciones del agro</x:v>
      </x:c>
      <x:c r="I47" s="95" t="str">
        <x:v>Nacional / regional</x:v>
      </x:c>
      <x:c r="J47" s="95" t="str">
        <x:v>Agricultura, alimentos y forestal</x:v>
      </x:c>
      <x:c r="K47" s="119" t="n">
        <x:v>50000000</x:v>
      </x:c>
      <x:c r="L47" s="120" t="n">
        <x:v>0.8</x:v>
      </x:c>
      <x:c r="M47" s="95" t="str">
        <x:v>20%</x:v>
      </x:c>
      <x:c r="N47" s="95" t="str">
        <x:v>Proyectos TRL 3–5</x:v>
      </x:c>
      <x:c r="O47" s="95" t="str">
        <x:v>Innovación y pertinencia sectorial</x:v>
      </x:c>
      <x:c r="P47" s="95" t="str">
        <x:v>Admisibilidad depende de la convocatoria</x:v>
      </x:c>
      <x:c r="Q47" s="95" t="str">
        <x:v>Anual o regional</x:v>
      </x:c>
      <x:c r="R47" s="95" t="str">
        <x:v>Convocatoria 2026 cerrada</x:v>
      </x:c>
      <x:c r="S47" s="95" t="str">
        <x:v>Media</x:v>
      </x:c>
      <x:c r="T47" s="95" t="str">
        <x:v>Proyecto agroinnovador en prueba de concepto</x:v>
      </x:c>
      <x:c r="U47" s="95" t="str">
        <x:v>Revisar próxima convocatoria oficial</x:v>
      </x:c>
      <x:c r="V47" s="95" t="str">
        <x:v>https://www.fia.cl/convocatorias/</x:v>
      </x:c>
      <x:c r="W47" s="121" t="str">
        <x:v>2026-08-28</x:v>
      </x:c>
      <x:c r="X47" s="96" t="str">
        <x:v>Media</x:v>
      </x:c>
    </x:row>
    <x:row r="48">
      <x:c r="A48" s="93" t="str">
        <x:v>INS-044</x:v>
      </x:c>
      <x:c r="B48" s="95" t="str">
        <x:v>FIA</x:v>
      </x:c>
      <x:c r="C48" s="95" t="str">
        <x:v>Convocatoria Nacional de Innovación Línea 2</x:v>
      </x:c>
      <x:c r="D48" s="95" t="str">
        <x:v>Subsidio</x:v>
      </x:c>
      <x:c r="E48" s="95" t="str">
        <x:v>Sí</x:v>
      </x:c>
      <x:c r="F48" s="95" t="str">
        <x:v>Incubación</x:v>
      </x:c>
      <x:c r="G48" s="95" t="str">
        <x:v>Persona jurídica según bases</x:v>
      </x:c>
      <x:c r="H48" s="95" t="str">
        <x:v>Micro y pequeñas empresas u organizaciones del agro</x:v>
      </x:c>
      <x:c r="I48" s="95" t="str">
        <x:v>Nacional / regional</x:v>
      </x:c>
      <x:c r="J48" s="95" t="str">
        <x:v>Agricultura, alimentos y forestal</x:v>
      </x:c>
      <x:c r="K48" s="119" t="n">
        <x:v>50000000</x:v>
      </x:c>
      <x:c r="L48" s="120" t="n">
        <x:v>0.8</x:v>
      </x:c>
      <x:c r="M48" s="95" t="str">
        <x:v>20%</x:v>
      </x:c>
      <x:c r="N48" s="95" t="str">
        <x:v>Proyectos TRL 5–7</x:v>
      </x:c>
      <x:c r="O48" s="95" t="str">
        <x:v>Prototipo validable e innovación</x:v>
      </x:c>
      <x:c r="P48" s="95" t="str">
        <x:v>Admisibilidad depende de la convocatoria</x:v>
      </x:c>
      <x:c r="Q48" s="95" t="str">
        <x:v>Anual o regional</x:v>
      </x:c>
      <x:c r="R48" s="95" t="str">
        <x:v>Convocatoria 2026 cerrada</x:v>
      </x:c>
      <x:c r="S48" s="95" t="str">
        <x:v>Media</x:v>
      </x:c>
      <x:c r="T48" s="95" t="str">
        <x:v>Innovación agro con prototipo avanzado</x:v>
      </x:c>
      <x:c r="U48" s="95" t="str">
        <x:v>Revisar próxima convocatoria oficial</x:v>
      </x:c>
      <x:c r="V48" s="95" t="str">
        <x:v>https://www.fia.cl/convocatorias/</x:v>
      </x:c>
      <x:c r="W48" s="121" t="str">
        <x:v>2026-08-28</x:v>
      </x:c>
      <x:c r="X48" s="96" t="str">
        <x:v>Media</x:v>
      </x:c>
    </x:row>
    <x:row r="49">
      <x:c r="A49" s="93" t="str">
        <x:v>INS-045</x:v>
      </x:c>
      <x:c r="B49" s="95" t="str">
        <x:v>FIA</x:v>
      </x:c>
      <x:c r="C49" s="95" t="str">
        <x:v>Convocatoria Nacional de Innovación Línea 3</x:v>
      </x:c>
      <x:c r="D49" s="95" t="str">
        <x:v>Subsidio</x:v>
      </x:c>
      <x:c r="E49" s="95" t="str">
        <x:v>Sí</x:v>
      </x:c>
      <x:c r="F49" s="95" t="str">
        <x:v>Incubación; ventas formales baja escala</x:v>
      </x:c>
      <x:c r="G49" s="95" t="str">
        <x:v>Persona jurídica según bases</x:v>
      </x:c>
      <x:c r="H49" s="95" t="str">
        <x:v>Empresas y organizaciones del agro</x:v>
      </x:c>
      <x:c r="I49" s="95" t="str">
        <x:v>Nacional / regional</x:v>
      </x:c>
      <x:c r="J49" s="95" t="str">
        <x:v>Agricultura, alimentos y forestal</x:v>
      </x:c>
      <x:c r="K49" s="119" t="n">
        <x:v>50000000</x:v>
      </x:c>
      <x:c r="L49" s="120" t="n">
        <x:v>0.8</x:v>
      </x:c>
      <x:c r="M49" s="95" t="str">
        <x:v>20%</x:v>
      </x:c>
      <x:c r="N49" s="95" t="str">
        <x:v>Proyectos TRL 7–8</x:v>
      </x:c>
      <x:c r="O49" s="95" t="str">
        <x:v>Solución validada y plan de implementación</x:v>
      </x:c>
      <x:c r="P49" s="95" t="str">
        <x:v>Admisibilidad depende de la convocatoria</x:v>
      </x:c>
      <x:c r="Q49" s="95" t="str">
        <x:v>Anual o regional</x:v>
      </x:c>
      <x:c r="R49" s="95" t="str">
        <x:v>Abierta hasta 08-09-2026</x:v>
      </x:c>
      <x:c r="S49" s="95" t="str">
        <x:v>Media</x:v>
      </x:c>
      <x:c r="T49" s="95" t="str">
        <x:v>Innovación agro cercana a mercado</x:v>
      </x:c>
      <x:c r="U49" s="95" t="str">
        <x:v>Revisar próxima convocatoria oficial</x:v>
      </x:c>
      <x:c r="V49" s="95" t="str">
        <x:v>https://www.fia.cl/convocatorias/</x:v>
      </x:c>
      <x:c r="W49" s="121" t="str">
        <x:v>2026-08-28</x:v>
      </x:c>
      <x:c r="X49" s="96" t="str">
        <x:v>Media</x:v>
      </x:c>
    </x:row>
    <x:row r="50">
      <x:c r="A50" s="93" t="str">
        <x:v>INS-046</x:v>
      </x:c>
      <x:c r="B50" s="95" t="str">
        <x:v>FIA</x:v>
      </x:c>
      <x:c r="C50" s="95" t="str">
        <x:v>Desafíos Públicos para el Agro</x:v>
      </x:c>
      <x:c r="D50" s="95" t="str">
        <x:v>Subsidio</x:v>
      </x:c>
      <x:c r="E50" s="95" t="str">
        <x:v>Sí</x:v>
      </x:c>
      <x:c r="F50" s="95" t="str">
        <x:v>Incubación</x:v>
      </x:c>
      <x:c r="G50" s="95" t="str">
        <x:v>Según bases</x:v>
      </x:c>
      <x:c r="H50" s="95" t="str">
        <x:v>Equipos o entidades capaces de resolver desafío</x:v>
      </x:c>
      <x:c r="I50" s="95" t="str">
        <x:v>Nacional / regional</x:v>
      </x:c>
      <x:c r="J50" s="95" t="str">
        <x:v>Agricultura</x:v>
      </x:c>
      <x:c r="K50" s="119"/>
      <x:c r="L50" s="120"/>
      <x:c r="M50" s="95" t="str">
        <x:v>Según bases</x:v>
      </x:c>
      <x:c r="N50" s="95" t="str">
        <x:v>Desarrollo de solución para reto público</x:v>
      </x:c>
      <x:c r="O50" s="95" t="str">
        <x:v>Responder a desafío publicado</x:v>
      </x:c>
      <x:c r="P50" s="95" t="str">
        <x:v>Admisibilidad depende de la convocatoria</x:v>
      </x:c>
      <x:c r="Q50" s="95" t="str">
        <x:v>Anual o regional</x:v>
      </x:c>
      <x:c r="R50" s="95" t="str">
        <x:v>Próxima apertura 01-09-2026</x:v>
      </x:c>
      <x:c r="S50" s="95" t="str">
        <x:v>Media</x:v>
      </x:c>
      <x:c r="T50" s="95" t="str">
        <x:v>Equipo innovador con capacidad técnica específica</x:v>
      </x:c>
      <x:c r="U50" s="95" t="str">
        <x:v>Revisar próxima convocatoria oficial</x:v>
      </x:c>
      <x:c r="V50" s="95" t="str">
        <x:v>https://www.fia.cl/convocatorias/</x:v>
      </x:c>
      <x:c r="W50" s="121" t="str">
        <x:v>2026-08-28</x:v>
      </x:c>
      <x:c r="X50" s="96" t="str">
        <x:v>Media</x:v>
      </x:c>
    </x:row>
    <x:row r="51">
      <x:c r="A51" s="93" t="str">
        <x:v>INS-047</x:v>
      </x:c>
      <x:c r="B51" s="95" t="str">
        <x:v>FIA</x:v>
      </x:c>
      <x:c r="C51" s="95" t="str">
        <x:v>Consultorías para la Innovación</x:v>
      </x:c>
      <x:c r="D51" s="95" t="str">
        <x:v>Subsidio / asesoría</x:v>
      </x:c>
      <x:c r="E51" s="95" t="str">
        <x:v>Sí</x:v>
      </x:c>
      <x:c r="F51" s="95" t="str">
        <x:v>Ventas formales baja escala</x:v>
      </x:c>
      <x:c r="G51" s="95" t="str">
        <x:v>Persona jurídica</x:v>
      </x:c>
      <x:c r="H51" s="95" t="str">
        <x:v>Empresas y organizaciones del agro</x:v>
      </x:c>
      <x:c r="I51" s="95" t="str">
        <x:v>Nacional / regional</x:v>
      </x:c>
      <x:c r="J51" s="95" t="str">
        <x:v>Agricultura</x:v>
      </x:c>
      <x:c r="K51" s="119"/>
      <x:c r="L51" s="120"/>
      <x:c r="M51" s="95" t="str">
        <x:v>Según bases</x:v>
      </x:c>
      <x:c r="N51" s="95" t="str">
        <x:v>Contratación de conocimiento especializado</x:v>
      </x:c>
      <x:c r="O51" s="95" t="str">
        <x:v>Brecha técnica e innovación</x:v>
      </x:c>
      <x:c r="P51" s="95" t="str">
        <x:v>Admisibilidad depende de la convocatoria</x:v>
      </x:c>
      <x:c r="Q51" s="95" t="str">
        <x:v>Anual o regional</x:v>
      </x:c>
      <x:c r="R51" s="95" t="str">
        <x:v>Convocatoria 2026 cerrada</x:v>
      </x:c>
      <x:c r="S51" s="95" t="str">
        <x:v>Baja</x:v>
      </x:c>
      <x:c r="T51" s="95" t="str">
        <x:v>Empresa agro con brecha especializada</x:v>
      </x:c>
      <x:c r="U51" s="95" t="str">
        <x:v>Revisar próxima convocatoria oficial</x:v>
      </x:c>
      <x:c r="V51" s="95" t="str">
        <x:v>https://www.fia.cl/convocatorias/</x:v>
      </x:c>
      <x:c r="W51" s="121" t="str">
        <x:v>2026-08-28</x:v>
      </x:c>
      <x:c r="X51" s="96" t="str">
        <x:v>Media</x:v>
      </x:c>
    </x:row>
    <x:row r="52">
      <x:c r="A52" s="93" t="str">
        <x:v>INS-048</x:v>
      </x:c>
      <x:c r="B52" s="95" t="str">
        <x:v>ANID</x:v>
      </x:c>
      <x:c r="C52" s="95" t="str">
        <x:v>Startup Ciencia</x:v>
      </x:c>
      <x:c r="D52" s="95" t="str">
        <x:v>Subsidio</x:v>
      </x:c>
      <x:c r="E52" s="95" t="str">
        <x:v>Sí</x:v>
      </x:c>
      <x:c r="F52" s="95" t="str">
        <x:v>Incubación; ventas formales baja escala</x:v>
      </x:c>
      <x:c r="G52" s="95" t="str">
        <x:v>Empresa de base científico-tecnológica</x:v>
      </x:c>
      <x:c r="H52" s="95" t="str">
        <x:v>EBCT con I+D intensiva</x:v>
      </x:c>
      <x:c r="I52" s="95" t="str">
        <x:v>Nacional / regional</x:v>
      </x:c>
      <x:c r="J52" s="95" t="str">
        <x:v>Ciencia y tecnología</x:v>
      </x:c>
      <x:c r="K52" s="119"/>
      <x:c r="L52" s="120"/>
      <x:c r="M52" s="95" t="str">
        <x:v>Según bases</x:v>
      </x:c>
      <x:c r="N52" s="95" t="str">
        <x:v>Desarrollo tecnológico y fortalecimiento de empresa</x:v>
      </x:c>
      <x:c r="O52" s="95" t="str">
        <x:v>Base científica-tecnológica y proyecto de I+D</x:v>
      </x:c>
      <x:c r="P52" s="95" t="str">
        <x:v>Admisibilidad depende de la convocatoria</x:v>
      </x:c>
      <x:c r="Q52" s="95" t="str">
        <x:v>Anual o regional</x:v>
      </x:c>
      <x:c r="R52" s="95" t="str">
        <x:v>Sin convocatoria 2026 verificada; última referencia 2024/2025</x:v>
      </x:c>
      <x:c r="S52" s="95" t="str">
        <x:v>Baja</x:v>
      </x:c>
      <x:c r="T52" s="95" t="str">
        <x:v>Startup científica con equipo e I+D comprobables</x:v>
      </x:c>
      <x:c r="U52" s="95" t="str">
        <x:v>Revisar próxima convocatoria oficial</x:v>
      </x:c>
      <x:c r="V52" s="95" t="str">
        <x:v>https://www.anid.cl/concursos/</x:v>
      </x:c>
      <x:c r="W52" s="121" t="str">
        <x:v>2026-08-28</x:v>
      </x:c>
      <x:c r="X52" s="96" t="str">
        <x:v>Baja</x:v>
      </x:c>
    </x:row>
    <x:row r="53">
      <x:c r="A53" s="93" t="str">
        <x:v>INS-049</x:v>
      </x:c>
      <x:c r="B53" s="95" t="str">
        <x:v>INDESPA</x:v>
      </x:c>
      <x:c r="C53" s="95" t="str">
        <x:v>Apoyo al Emprendimiento Productivo Inicial</x:v>
      </x:c>
      <x:c r="D53" s="95" t="str">
        <x:v>Subsidio</x:v>
      </x:c>
      <x:c r="E53" s="95" t="str">
        <x:v>Sí</x:v>
      </x:c>
      <x:c r="F53" s="95" t="str">
        <x:v>Idea; ventas informales</x:v>
      </x:c>
      <x:c r="G53" s="95" t="str">
        <x:v>Según línea; pertenencia al sector pesquero</x:v>
      </x:c>
      <x:c r="H53" s="95" t="str">
        <x:v>Pescadores artesanales y acuicultores de pequeña escala</x:v>
      </x:c>
      <x:c r="I53" s="95" t="str">
        <x:v>Nacional / regional</x:v>
      </x:c>
      <x:c r="J53" s="95" t="str">
        <x:v>Pesca y acuicultura</x:v>
      </x:c>
      <x:c r="K53" s="119" t="n">
        <x:v>15000000</x:v>
      </x:c>
      <x:c r="L53" s="120"/>
      <x:c r="M53" s="95" t="str">
        <x:v>Según bases</x:v>
      </x:c>
      <x:c r="N53" s="95" t="str">
        <x:v>Equipos, activos y puesta en marcha</x:v>
      </x:c>
      <x:c r="O53" s="95" t="str">
        <x:v>Ser usuario INDESPA o cumplir requisitos sectoriales</x:v>
      </x:c>
      <x:c r="P53" s="95" t="str">
        <x:v>Admisibilidad depende de la convocatoria</x:v>
      </x:c>
      <x:c r="Q53" s="95" t="str">
        <x:v>Anual o regional</x:v>
      </x:c>
      <x:c r="R53" s="95" t="str">
        <x:v>Convocatoria nacional 2026 cerrada</x:v>
      </x:c>
      <x:c r="S53" s="95" t="str">
        <x:v>Alta</x:v>
      </x:c>
      <x:c r="T53" s="95" t="str">
        <x:v>Emprendimiento nuevo de pesca o acuicultura</x:v>
      </x:c>
      <x:c r="U53" s="95" t="str">
        <x:v>Revisar próxima convocatoria oficial</x:v>
      </x:c>
      <x:c r="V53" s="95" t="str">
        <x:v>https://www.indespa.cl/concursos/</x:v>
      </x:c>
      <x:c r="W53" s="121" t="str">
        <x:v>2026-08-28</x:v>
      </x:c>
      <x:c r="X53" s="96" t="str">
        <x:v>Media</x:v>
      </x:c>
    </x:row>
    <x:row r="54">
      <x:c r="A54" s="93" t="str">
        <x:v>INS-050</x:v>
      </x:c>
      <x:c r="B54" s="95" t="str">
        <x:v>INDESPA</x:v>
      </x:c>
      <x:c r="C54" s="95" t="str">
        <x:v>Apoyo al Emprendimiento Productivo Nacional</x:v>
      </x:c>
      <x:c r="D54" s="95" t="str">
        <x:v>Subsidio</x:v>
      </x:c>
      <x:c r="E54" s="95" t="str">
        <x:v>Sí</x:v>
      </x:c>
      <x:c r="F54" s="95" t="str">
        <x:v>Ventas formales baja escala</x:v>
      </x:c>
      <x:c r="G54" s="95" t="str">
        <x:v>Inicio de actividades según convocatoria</x:v>
      </x:c>
      <x:c r="H54" s="95" t="str">
        <x:v>Personas y organizaciones del sector</x:v>
      </x:c>
      <x:c r="I54" s="95" t="str">
        <x:v>Nacional / regional</x:v>
      </x:c>
      <x:c r="J54" s="95" t="str">
        <x:v>Pesca y acuicultura</x:v>
      </x:c>
      <x:c r="K54" s="119" t="n">
        <x:v>20000000</x:v>
      </x:c>
      <x:c r="L54" s="120"/>
      <x:c r="M54" s="95" t="str">
        <x:v>Según bases</x:v>
      </x:c>
      <x:c r="N54" s="95" t="str">
        <x:v>Inversión y agregación de valor</x:v>
      </x:c>
      <x:c r="O54" s="95" t="str">
        <x:v>Calidad de usuario, formalización y proyecto productivo</x:v>
      </x:c>
      <x:c r="P54" s="95" t="str">
        <x:v>Admisibilidad depende de la convocatoria</x:v>
      </x:c>
      <x:c r="Q54" s="95" t="str">
        <x:v>Anual o regional</x:v>
      </x:c>
      <x:c r="R54" s="95" t="str">
        <x:v>Convocatoria nacional 2026 cerrada</x:v>
      </x:c>
      <x:c r="S54" s="95" t="str">
        <x:v>Alta</x:v>
      </x:c>
      <x:c r="T54" s="95" t="str">
        <x:v>Negocio pesquero o acuícola en funcionamiento</x:v>
      </x:c>
      <x:c r="U54" s="95" t="str">
        <x:v>Revisar próxima convocatoria oficial</x:v>
      </x:c>
      <x:c r="V54" s="95" t="str">
        <x:v>https://www.indespa.cl/concursos/</x:v>
      </x:c>
      <x:c r="W54" s="121" t="str">
        <x:v>2026-08-28</x:v>
      </x:c>
      <x:c r="X54" s="96" t="str">
        <x:v>Media</x:v>
      </x:c>
    </x:row>
    <x:row r="55">
      <x:c r="A55" s="93" t="str">
        <x:v>INS-051</x:v>
      </x:c>
      <x:c r="B55" s="95" t="str">
        <x:v>INDESPA</x:v>
      </x:c>
      <x:c r="C55" s="95" t="str">
        <x:v>Fomento Productivo Regional</x:v>
      </x:c>
      <x:c r="D55" s="95" t="str">
        <x:v>Subsidio</x:v>
      </x:c>
      <x:c r="E55" s="95" t="str">
        <x:v>Sí</x:v>
      </x:c>
      <x:c r="F55" s="95" t="str">
        <x:v>Ventas informales; ventas formales baja escala</x:v>
      </x:c>
      <x:c r="G55" s="95" t="str">
        <x:v>Variable</x:v>
      </x:c>
      <x:c r="H55" s="95" t="str">
        <x:v>Personas u organizaciones de pesca artesanal</x:v>
      </x:c>
      <x:c r="I55" s="95" t="str">
        <x:v>Regional</x:v>
      </x:c>
      <x:c r="J55" s="95" t="str">
        <x:v>Pesca y acuicultura</x:v>
      </x:c>
      <x:c r="K55" s="119"/>
      <x:c r="L55" s="120"/>
      <x:c r="M55" s="95" t="str">
        <x:v>Según bases</x:v>
      </x:c>
      <x:c r="N55" s="95" t="str">
        <x:v>Equipamiento, infraestructura y recuperación productiva</x:v>
      </x:c>
      <x:c r="O55" s="95" t="str">
        <x:v>Región y calidad sectorial</x:v>
      </x:c>
      <x:c r="P55" s="95" t="str">
        <x:v>Admisibilidad depende de la convocatoria</x:v>
      </x:c>
      <x:c r="Q55" s="95" t="str">
        <x:v>Anual o regional</x:v>
      </x:c>
      <x:c r="R55" s="95" t="str">
        <x:v>Convocatorias regionales 2026</x:v>
      </x:c>
      <x:c r="S55" s="95" t="str">
        <x:v>Alta</x:v>
      </x:c>
      <x:c r="T55" s="95" t="str">
        <x:v>Emprendimiento pesquero en región con convenio</x:v>
      </x:c>
      <x:c r="U55" s="95" t="str">
        <x:v>Revisar próxima convocatoria oficial</x:v>
      </x:c>
      <x:c r="V55" s="95" t="str">
        <x:v>https://www.indespa.cl/concursos/</x:v>
      </x:c>
      <x:c r="W55" s="121" t="str">
        <x:v>2026-08-28</x:v>
      </x:c>
      <x:c r="X55" s="96" t="str">
        <x:v>Media</x:v>
      </x:c>
    </x:row>
    <x:row r="56">
      <x:c r="A56" s="93" t="str">
        <x:v>INS-052</x:v>
      </x:c>
      <x:c r="B56" s="95" t="str">
        <x:v>INDESPA</x:v>
      </x:c>
      <x:c r="C56" s="95" t="str">
        <x:v>Mercados del Mar</x:v>
      </x:c>
      <x:c r="D56" s="95" t="str">
        <x:v>Beneficio en especie</x:v>
      </x:c>
      <x:c r="E56" s="95" t="str">
        <x:v>Sí, en especie</x:v>
      </x:c>
      <x:c r="F56" s="95" t="str">
        <x:v>Ventas formales baja escala</x:v>
      </x:c>
      <x:c r="G56" s="95" t="str">
        <x:v>Inicio de actividades y permisos sanitarios según línea</x:v>
      </x:c>
      <x:c r="H56" s="95" t="str">
        <x:v>Emprendimientos con valor agregado</x:v>
      </x:c>
      <x:c r="I56" s="95" t="str">
        <x:v>Nacional / regional</x:v>
      </x:c>
      <x:c r="J56" s="95" t="str">
        <x:v>Pesca y acuicultura</x:v>
      </x:c>
      <x:c r="K56" s="119"/>
      <x:c r="L56" s="120"/>
      <x:c r="M56" s="95" t="str">
        <x:v>Según bases</x:v>
      </x:c>
      <x:c r="N56" s="95" t="str">
        <x:v>Stand, traslado, alojamiento, asistencia y capacitación</x:v>
      </x:c>
      <x:c r="O56" s="95" t="str">
        <x:v>Producto formalizado y registros sectoriales</x:v>
      </x:c>
      <x:c r="P56" s="95" t="str">
        <x:v>Admisibilidad depende de la convocatoria</x:v>
      </x:c>
      <x:c r="Q56" s="95" t="str">
        <x:v>Anual o regional</x:v>
      </x:c>
      <x:c r="R56" s="95" t="str">
        <x:v>Food &amp; Service cerró 27-08-2026</x:v>
      </x:c>
      <x:c r="S56" s="95" t="str">
        <x:v>Media</x:v>
      </x:c>
      <x:c r="T56" s="95" t="str">
        <x:v>Producto del mar listo para comercialización</x:v>
      </x:c>
      <x:c r="U56" s="95" t="str">
        <x:v>Revisar próxima convocatoria oficial</x:v>
      </x:c>
      <x:c r="V56" s="95" t="str">
        <x:v>https://www.indespa.cl/concursos/mercados-del-mar-feria-food-service-2026-0/</x:v>
      </x:c>
      <x:c r="W56" s="121" t="str">
        <x:v>2026-08-28</x:v>
      </x:c>
      <x:c r="X56" s="96" t="str">
        <x:v>Media</x:v>
      </x:c>
    </x:row>
    <x:row r="57">
      <x:c r="A57" s="93" t="str">
        <x:v>INS-053</x:v>
      </x:c>
      <x:c r="B57" s="95" t="str">
        <x:v>Ministerio de las Culturas</x:v>
      </x:c>
      <x:c r="C57" s="95" t="str">
        <x:v>Fondart Regional</x:v>
      </x:c>
      <x:c r="D57" s="95" t="str">
        <x:v>Subsidio</x:v>
      </x:c>
      <x:c r="E57" s="95" t="str">
        <x:v>Sí</x:v>
      </x:c>
      <x:c r="F57" s="95" t="str">
        <x:v>Idea; incubación; ventas formales baja escala</x:v>
      </x:c>
      <x:c r="G57" s="95" t="str">
        <x:v>Persona natural o jurídica según línea</x:v>
      </x:c>
      <x:c r="H57" s="95" t="str">
        <x:v>Creadores, gestores y organizaciones culturales</x:v>
      </x:c>
      <x:c r="I57" s="95" t="str">
        <x:v>Regional</x:v>
      </x:c>
      <x:c r="J57" s="95" t="str">
        <x:v>Cultura y artes</x:v>
      </x:c>
      <x:c r="K57" s="119"/>
      <x:c r="L57" s="120"/>
      <x:c r="M57" s="95" t="str">
        <x:v>Según línea</x:v>
      </x:c>
      <x:c r="N57" s="95" t="str">
        <x:v>Creación, circulación, equipamiento y gestión cultural</x:v>
      </x:c>
      <x:c r="O57" s="95" t="str">
        <x:v>Proyecto cultural y región</x:v>
      </x:c>
      <x:c r="P57" s="95" t="str">
        <x:v>Admisibilidad depende de la convocatoria</x:v>
      </x:c>
      <x:c r="Q57" s="95" t="str">
        <x:v>Anual o regional</x:v>
      </x:c>
      <x:c r="R57" s="95" t="str">
        <x:v>Convocatorias 2027 abiertas</x:v>
      </x:c>
      <x:c r="S57" s="95" t="str">
        <x:v>Alta</x:v>
      </x:c>
      <x:c r="T57" s="95" t="str">
        <x:v>Emprendimiento o proyecto cultural con foco regional</x:v>
      </x:c>
      <x:c r="U57" s="95" t="str">
        <x:v>Revisar próxima convocatoria oficial</x:v>
      </x:c>
      <x:c r="V57" s="95" t="str">
        <x:v>https://www.fondosdecultura.cl/</x:v>
      </x:c>
      <x:c r="W57" s="121" t="str">
        <x:v>2026-08-28</x:v>
      </x:c>
      <x:c r="X57" s="96" t="str">
        <x:v>Media</x:v>
      </x:c>
    </x:row>
    <x:row r="58">
      <x:c r="A58" s="93" t="str">
        <x:v>INS-054</x:v>
      </x:c>
      <x:c r="B58" s="95" t="str">
        <x:v>Ministerio de las Culturas</x:v>
      </x:c>
      <x:c r="C58" s="95" t="str">
        <x:v>Fondart Nacional</x:v>
      </x:c>
      <x:c r="D58" s="95" t="str">
        <x:v>Subsidio</x:v>
      </x:c>
      <x:c r="E58" s="95" t="str">
        <x:v>Sí</x:v>
      </x:c>
      <x:c r="F58" s="95" t="str">
        <x:v>Idea; incubación; ventas formales baja escala</x:v>
      </x:c>
      <x:c r="G58" s="95" t="str">
        <x:v>Persona natural o jurídica según línea</x:v>
      </x:c>
      <x:c r="H58" s="95" t="str">
        <x:v>Creadores y organizaciones culturales</x:v>
      </x:c>
      <x:c r="I58" s="95" t="str">
        <x:v>Nacional / regional</x:v>
      </x:c>
      <x:c r="J58" s="95" t="str">
        <x:v>Cultura y artes</x:v>
      </x:c>
      <x:c r="K58" s="119"/>
      <x:c r="L58" s="120"/>
      <x:c r="M58" s="95" t="str">
        <x:v>Según bases</x:v>
      </x:c>
      <x:c r="N58" s="95" t="str">
        <x:v>Creación, investigación, difusión y circulación</x:v>
      </x:c>
      <x:c r="O58" s="95" t="str">
        <x:v>Proyecto ajustado a línea nacional</x:v>
      </x:c>
      <x:c r="P58" s="95" t="str">
        <x:v>Admisibilidad depende de la convocatoria</x:v>
      </x:c>
      <x:c r="Q58" s="95" t="str">
        <x:v>Anual o regional</x:v>
      </x:c>
      <x:c r="R58" s="95" t="str">
        <x:v>Convocatorias 2027 abiertas</x:v>
      </x:c>
      <x:c r="S58" s="95" t="str">
        <x:v>Media</x:v>
      </x:c>
      <x:c r="T58" s="95" t="str">
        <x:v>Proyecto cultural con alcance nacional</x:v>
      </x:c>
      <x:c r="U58" s="95" t="str">
        <x:v>Revisar próxima convocatoria oficial</x:v>
      </x:c>
      <x:c r="V58" s="95" t="str">
        <x:v>https://www.fondosdecultura.cl/</x:v>
      </x:c>
      <x:c r="W58" s="121" t="str">
        <x:v>2026-08-28</x:v>
      </x:c>
      <x:c r="X58" s="96" t="str">
        <x:v>Media</x:v>
      </x:c>
    </x:row>
    <x:row r="59">
      <x:c r="A59" s="93" t="str">
        <x:v>INS-055</x:v>
      </x:c>
      <x:c r="B59" s="95" t="str">
        <x:v>Ministerio de las Culturas</x:v>
      </x:c>
      <x:c r="C59" s="95" t="str">
        <x:v>Fondo Audiovisual</x:v>
      </x:c>
      <x:c r="D59" s="95" t="str">
        <x:v>Subsidio</x:v>
      </x:c>
      <x:c r="E59" s="95" t="str">
        <x:v>Sí</x:v>
      </x:c>
      <x:c r="F59" s="95" t="str">
        <x:v>Idea; incubación; ventas formales baja escala</x:v>
      </x:c>
      <x:c r="G59" s="95" t="str">
        <x:v>Persona natural o jurídica según línea</x:v>
      </x:c>
      <x:c r="H59" s="95" t="str">
        <x:v>Creadores y empresas audiovisuales</x:v>
      </x:c>
      <x:c r="I59" s="95" t="str">
        <x:v>Nacional / regional</x:v>
      </x:c>
      <x:c r="J59" s="95" t="str">
        <x:v>Audiovisual, videojuegos y contenidos</x:v>
      </x:c>
      <x:c r="K59" s="119"/>
      <x:c r="L59" s="120"/>
      <x:c r="M59" s="95" t="str">
        <x:v>Según bases</x:v>
      </x:c>
      <x:c r="N59" s="95" t="str">
        <x:v>Desarrollo, producción y distribución</x:v>
      </x:c>
      <x:c r="O59" s="95" t="str">
        <x:v>Proyecto audiovisual y antecedentes exigidos</x:v>
      </x:c>
      <x:c r="P59" s="95" t="str">
        <x:v>Admisibilidad depende de la convocatoria</x:v>
      </x:c>
      <x:c r="Q59" s="95" t="str">
        <x:v>Anual o regional</x:v>
      </x:c>
      <x:c r="R59" s="95" t="str">
        <x:v>Convocatorias 2027 abiertas</x:v>
      </x:c>
      <x:c r="S59" s="95" t="str">
        <x:v>Alta</x:v>
      </x:c>
      <x:c r="T59" s="95" t="str">
        <x:v>Proyecto audiovisual o videojuego</x:v>
      </x:c>
      <x:c r="U59" s="95" t="str">
        <x:v>Revisar próxima convocatoria oficial</x:v>
      </x:c>
      <x:c r="V59" s="95" t="str">
        <x:v>https://www.fondosdecultura.cl/</x:v>
      </x:c>
      <x:c r="W59" s="121" t="str">
        <x:v>2026-08-28</x:v>
      </x:c>
      <x:c r="X59" s="96" t="str">
        <x:v>Media</x:v>
      </x:c>
    </x:row>
    <x:row r="60">
      <x:c r="A60" s="93" t="str">
        <x:v>INS-056</x:v>
      </x:c>
      <x:c r="B60" s="95" t="str">
        <x:v>Ministerio de las Culturas</x:v>
      </x:c>
      <x:c r="C60" s="95" t="str">
        <x:v>Fondo de la Música</x:v>
      </x:c>
      <x:c r="D60" s="95" t="str">
        <x:v>Subsidio</x:v>
      </x:c>
      <x:c r="E60" s="95" t="str">
        <x:v>Sí</x:v>
      </x:c>
      <x:c r="F60" s="95" t="str">
        <x:v>Idea; incubación; ventas formales baja escala</x:v>
      </x:c>
      <x:c r="G60" s="95" t="str">
        <x:v>Persona natural o jurídica según línea</x:v>
      </x:c>
      <x:c r="H60" s="95" t="str">
        <x:v>Músicos, sellos y organizaciones</x:v>
      </x:c>
      <x:c r="I60" s="95" t="str">
        <x:v>Nacional / regional</x:v>
      </x:c>
      <x:c r="J60" s="95" t="str">
        <x:v>Música</x:v>
      </x:c>
      <x:c r="K60" s="119"/>
      <x:c r="L60" s="120"/>
      <x:c r="M60" s="95" t="str">
        <x:v>Según bases</x:v>
      </x:c>
      <x:c r="N60" s="95" t="str">
        <x:v>Producción, circulación y difusión</x:v>
      </x:c>
      <x:c r="O60" s="95" t="str">
        <x:v>Proyecto musical y línea compatible</x:v>
      </x:c>
      <x:c r="P60" s="95" t="str">
        <x:v>Admisibilidad depende de la convocatoria</x:v>
      </x:c>
      <x:c r="Q60" s="95" t="str">
        <x:v>Anual o regional</x:v>
      </x:c>
      <x:c r="R60" s="95" t="str">
        <x:v>Convocatorias 2027 abiertas</x:v>
      </x:c>
      <x:c r="S60" s="95" t="str">
        <x:v>Alta</x:v>
      </x:c>
      <x:c r="T60" s="95" t="str">
        <x:v>Emprendimiento o proyecto musical</x:v>
      </x:c>
      <x:c r="U60" s="95" t="str">
        <x:v>Revisar próxima convocatoria oficial</x:v>
      </x:c>
      <x:c r="V60" s="95" t="str">
        <x:v>https://www.fondosdecultura.cl/</x:v>
      </x:c>
      <x:c r="W60" s="121" t="str">
        <x:v>2026-08-28</x:v>
      </x:c>
      <x:c r="X60" s="96" t="str">
        <x:v>Media</x:v>
      </x:c>
    </x:row>
    <x:row r="61">
      <x:c r="A61" s="93" t="str">
        <x:v>INS-057</x:v>
      </x:c>
      <x:c r="B61" s="95" t="str">
        <x:v>Ministerio de las Culturas</x:v>
      </x:c>
      <x:c r="C61" s="95" t="str">
        <x:v>Fondo del Libro y la Lectura</x:v>
      </x:c>
      <x:c r="D61" s="95" t="str">
        <x:v>Subsidio</x:v>
      </x:c>
      <x:c r="E61" s="95" t="str">
        <x:v>Sí</x:v>
      </x:c>
      <x:c r="F61" s="95" t="str">
        <x:v>Idea; incubación; ventas formales baja escala</x:v>
      </x:c>
      <x:c r="G61" s="95" t="str">
        <x:v>Persona natural o jurídica según línea</x:v>
      </x:c>
      <x:c r="H61" s="95" t="str">
        <x:v>Autores, editoriales, librerías y organizaciones</x:v>
      </x:c>
      <x:c r="I61" s="95" t="str">
        <x:v>Nacional / regional</x:v>
      </x:c>
      <x:c r="J61" s="95" t="str">
        <x:v>Libro, lectura y edición</x:v>
      </x:c>
      <x:c r="K61" s="119"/>
      <x:c r="L61" s="120"/>
      <x:c r="M61" s="95" t="str">
        <x:v>Según bases</x:v>
      </x:c>
      <x:c r="N61" s="95" t="str">
        <x:v>Creación, edición, difusión y fomento lector</x:v>
      </x:c>
      <x:c r="O61" s="95" t="str">
        <x:v>Proyecto editorial o de lectura</x:v>
      </x:c>
      <x:c r="P61" s="95" t="str">
        <x:v>Admisibilidad depende de la convocatoria</x:v>
      </x:c>
      <x:c r="Q61" s="95" t="str">
        <x:v>Anual o regional</x:v>
      </x:c>
      <x:c r="R61" s="95" t="str">
        <x:v>Convocatorias 2027 abiertas</x:v>
      </x:c>
      <x:c r="S61" s="95" t="str">
        <x:v>Alta</x:v>
      </x:c>
      <x:c r="T61" s="95" t="str">
        <x:v>Proyecto editorial o librería cultural</x:v>
      </x:c>
      <x:c r="U61" s="95" t="str">
        <x:v>Revisar próxima convocatoria oficial</x:v>
      </x:c>
      <x:c r="V61" s="95" t="str">
        <x:v>https://www.fondosdecultura.cl/</x:v>
      </x:c>
      <x:c r="W61" s="121" t="str">
        <x:v>2026-08-28</x:v>
      </x:c>
      <x:c r="X61" s="96" t="str">
        <x:v>Media</x:v>
      </x:c>
    </x:row>
    <x:row r="62">
      <x:c r="A62" s="93" t="str">
        <x:v>INS-058</x:v>
      </x:c>
      <x:c r="B62" s="95" t="str">
        <x:v>Ministerio de las Culturas</x:v>
      </x:c>
      <x:c r="C62" s="95" t="str">
        <x:v>Fondo de Artes Escénicas</x:v>
      </x:c>
      <x:c r="D62" s="95" t="str">
        <x:v>Subsidio</x:v>
      </x:c>
      <x:c r="E62" s="95" t="str">
        <x:v>Sí</x:v>
      </x:c>
      <x:c r="F62" s="95" t="str">
        <x:v>Idea; incubación; ventas formales baja escala</x:v>
      </x:c>
      <x:c r="G62" s="95" t="str">
        <x:v>Persona natural o jurídica según línea</x:v>
      </x:c>
      <x:c r="H62" s="95" t="str">
        <x:v>Compañías, artistas y organizaciones</x:v>
      </x:c>
      <x:c r="I62" s="95" t="str">
        <x:v>Nacional / regional</x:v>
      </x:c>
      <x:c r="J62" s="95" t="str">
        <x:v>Teatro, danza, circo y artes escénicas</x:v>
      </x:c>
      <x:c r="K62" s="119"/>
      <x:c r="L62" s="120"/>
      <x:c r="M62" s="95" t="str">
        <x:v>Según bases</x:v>
      </x:c>
      <x:c r="N62" s="95" t="str">
        <x:v>Creación, producción y circulación</x:v>
      </x:c>
      <x:c r="O62" s="95" t="str">
        <x:v>Proyecto escénico</x:v>
      </x:c>
      <x:c r="P62" s="95" t="str">
        <x:v>Admisibilidad depende de la convocatoria</x:v>
      </x:c>
      <x:c r="Q62" s="95" t="str">
        <x:v>Anual o regional</x:v>
      </x:c>
      <x:c r="R62" s="95" t="str">
        <x:v>Convocatorias 2027 abiertas</x:v>
      </x:c>
      <x:c r="S62" s="95" t="str">
        <x:v>Alta</x:v>
      </x:c>
      <x:c r="T62" s="95" t="str">
        <x:v>Proyecto de artes escénicas</x:v>
      </x:c>
      <x:c r="U62" s="95" t="str">
        <x:v>Revisar próxima convocatoria oficial</x:v>
      </x:c>
      <x:c r="V62" s="95" t="str">
        <x:v>https://www.fondosdecultura.cl/</x:v>
      </x:c>
      <x:c r="W62" s="121" t="str">
        <x:v>2026-08-28</x:v>
      </x:c>
      <x:c r="X62" s="96" t="str">
        <x:v>Media</x:v>
      </x:c>
    </x:row>
    <x:row r="63">
      <x:c r="A63" s="93" t="str">
        <x:v>INS-059</x:v>
      </x:c>
      <x:c r="B63" s="95" t="str">
        <x:v>Ministerio de las Culturas</x:v>
      </x:c>
      <x:c r="C63" s="95" t="str">
        <x:v>Becas Chile Crea</x:v>
      </x:c>
      <x:c r="D63" s="95" t="str">
        <x:v>Beca</x:v>
      </x:c>
      <x:c r="E63" s="95" t="str">
        <x:v>Sí</x:v>
      </x:c>
      <x:c r="F63" s="95" t="str">
        <x:v>Incubación</x:v>
      </x:c>
      <x:c r="G63" s="95" t="str">
        <x:v>No necesariamente</x:v>
      </x:c>
      <x:c r="H63" s="95" t="str">
        <x:v>Artistas y agentes culturales</x:v>
      </x:c>
      <x:c r="I63" s="95" t="str">
        <x:v>Nacional / regional</x:v>
      </x:c>
      <x:c r="J63" s="95" t="str">
        <x:v>Cultura y artes</x:v>
      </x:c>
      <x:c r="K63" s="119"/>
      <x:c r="L63" s="120"/>
      <x:c r="M63" s="95" t="str">
        <x:v>Según bases</x:v>
      </x:c>
      <x:c r="N63" s="95" t="str">
        <x:v>Formación y especialización</x:v>
      </x:c>
      <x:c r="O63" s="95" t="str">
        <x:v>Programa formativo y trayectoria</x:v>
      </x:c>
      <x:c r="P63" s="95" t="str">
        <x:v>Admisibilidad depende de la convocatoria</x:v>
      </x:c>
      <x:c r="Q63" s="95" t="str">
        <x:v>Anual o regional</x:v>
      </x:c>
      <x:c r="R63" s="95" t="str">
        <x:v>Abierta hasta 31-08-2026</x:v>
      </x:c>
      <x:c r="S63" s="95" t="str">
        <x:v>Media</x:v>
      </x:c>
      <x:c r="T63" s="95" t="str">
        <x:v>Persona creativa que necesita formación especializada</x:v>
      </x:c>
      <x:c r="U63" s="95" t="str">
        <x:v>Revisar próxima convocatoria oficial</x:v>
      </x:c>
      <x:c r="V63" s="95" t="str">
        <x:v>https://www.fondosdecultura.cl/</x:v>
      </x:c>
      <x:c r="W63" s="121" t="str">
        <x:v>2026-08-28</x:v>
      </x:c>
      <x:c r="X63" s="96" t="str">
        <x:v>Media</x:v>
      </x:c>
    </x:row>
    <x:row r="64">
      <x:c r="A64" s="93" t="str">
        <x:v>INS-060</x:v>
      </x:c>
      <x:c r="B64" s="95" t="str">
        <x:v>Comisión Nacional de Riego (CNR)</x:v>
      </x:c>
      <x:c r="C64" s="95" t="str">
        <x:v>Bonificación Ley 18.450 - Pequeña Agricultura</x:v>
      </x:c>
      <x:c r="D64" s="95" t="str">
        <x:v>Bonificación</x:v>
      </x:c>
      <x:c r="E64" s="95" t="str">
        <x:v>Sí</x:v>
      </x:c>
      <x:c r="F64" s="95" t="str">
        <x:v>Ventas informales; ventas formales baja escala</x:v>
      </x:c>
      <x:c r="G64" s="95" t="str">
        <x:v>Productor o organización elegible</x:v>
      </x:c>
      <x:c r="H64" s="95" t="str">
        <x:v>Pequeños agricultores y proyectos asociativos</x:v>
      </x:c>
      <x:c r="I64" s="95" t="str">
        <x:v>Nacional / regional</x:v>
      </x:c>
      <x:c r="J64" s="95" t="str">
        <x:v>Agricultura</x:v>
      </x:c>
      <x:c r="K64" s="119"/>
      <x:c r="L64" s="120"/>
      <x:c r="M64" s="95" t="str">
        <x:v>Según bases</x:v>
      </x:c>
      <x:c r="N64" s="95" t="str">
        <x:v>Tecnificación y obras de riego</x:v>
      </x:c>
      <x:c r="O64" s="95" t="str">
        <x:v>Proyecto técnico presentado por consultor y concurso compatible</x:v>
      </x:c>
      <x:c r="P64" s="95" t="str">
        <x:v>Admisibilidad depende de la convocatoria</x:v>
      </x:c>
      <x:c r="Q64" s="95" t="str">
        <x:v>Anual o regional</x:v>
      </x:c>
      <x:c r="R64" s="95" t="str">
        <x:v>Concursos 204 y 206 próximos en 2026</x:v>
      </x:c>
      <x:c r="S64" s="95" t="str">
        <x:v>Media</x:v>
      </x:c>
      <x:c r="T64" s="95" t="str">
        <x:v>Pequeño agricultor con proyecto de riego</x:v>
      </x:c>
      <x:c r="U64" s="95" t="str">
        <x:v>Revisar próxima convocatoria oficial</x:v>
      </x:c>
      <x:c r="V64" s="95" t="str">
        <x:v>https://www.cnr.gob.cl/agricultores/calendario-de-concurso/</x:v>
      </x:c>
      <x:c r="W64" s="121" t="str">
        <x:v>2026-08-28</x:v>
      </x:c>
      <x:c r="X64" s="96" t="str">
        <x:v>Media</x:v>
      </x:c>
    </x:row>
    <x:row r="65">
      <x:c r="A65" s="93" t="str">
        <x:v>INS-061</x:v>
      </x:c>
      <x:c r="B65" s="95" t="str">
        <x:v>Comisión Nacional de Riego (CNR)</x:v>
      </x:c>
      <x:c r="C65" s="95" t="str">
        <x:v>Bonificación Ley 18.450 - Mujeres</x:v>
      </x:c>
      <x:c r="D65" s="95" t="str">
        <x:v>Bonificación</x:v>
      </x:c>
      <x:c r="E65" s="95" t="str">
        <x:v>Sí</x:v>
      </x:c>
      <x:c r="F65" s="95" t="str">
        <x:v>Ventas informales; ventas formales baja escala</x:v>
      </x:c>
      <x:c r="G65" s="95" t="str">
        <x:v>Productora o organización elegible</x:v>
      </x:c>
      <x:c r="H65" s="95" t="str">
        <x:v>Mujeres de pequeña agricultura</x:v>
      </x:c>
      <x:c r="I65" s="95" t="str">
        <x:v>Nacional / regional</x:v>
      </x:c>
      <x:c r="J65" s="95" t="str">
        <x:v>Agricultura</x:v>
      </x:c>
      <x:c r="K65" s="119"/>
      <x:c r="L65" s="120"/>
      <x:c r="M65" s="95" t="str">
        <x:v>Según bases</x:v>
      </x:c>
      <x:c r="N65" s="95" t="str">
        <x:v>Tecnificación y obras de riego</x:v>
      </x:c>
      <x:c r="O65" s="95" t="str">
        <x:v>Ser mujer productora y presentar proyecto técnico</x:v>
      </x:c>
      <x:c r="P65" s="95" t="str">
        <x:v>Admisibilidad depende de la convocatoria</x:v>
      </x:c>
      <x:c r="Q65" s="95" t="str">
        <x:v>Anual o regional</x:v>
      </x:c>
      <x:c r="R65" s="95" t="str">
        <x:v>Bases previstas 18-11-2026</x:v>
      </x:c>
      <x:c r="S65" s="95" t="str">
        <x:v>Media</x:v>
      </x:c>
      <x:c r="T65" s="95" t="str">
        <x:v>Agricultora con inversión de riego</x:v>
      </x:c>
      <x:c r="U65" s="95" t="str">
        <x:v>Revisar próxima convocatoria oficial</x:v>
      </x:c>
      <x:c r="V65" s="95" t="str">
        <x:v>https://www.cnr.gob.cl/agricultores/calendario-de-concurso/</x:v>
      </x:c>
      <x:c r="W65" s="121" t="str">
        <x:v>2026-08-28</x:v>
      </x:c>
      <x:c r="X65" s="96" t="str">
        <x:v>Media</x:v>
      </x:c>
    </x:row>
    <x:row r="66">
      <x:c r="A66" s="93" t="str">
        <x:v>INS-062</x:v>
      </x:c>
      <x:c r="B66" s="95" t="str">
        <x:v>CONAF</x:v>
      </x:c>
      <x:c r="C66" s="95" t="str">
        <x:v>Fondo de Conservación, Recuperación y Manejo Sustentable del Bosque Nativo</x:v>
      </x:c>
      <x:c r="D66" s="95" t="str">
        <x:v>Bonificación</x:v>
      </x:c>
      <x:c r="E66" s="95" t="str">
        <x:v>Sí</x:v>
      </x:c>
      <x:c r="F66" s="95" t="str">
        <x:v>Ventas informales; ventas formales baja escala</x:v>
      </x:c>
      <x:c r="G66" s="95" t="str">
        <x:v>Propietario persona natural o jurídica</x:v>
      </x:c>
      <x:c r="H66" s="95" t="str">
        <x:v>Propietarios de predios con bosque nativo</x:v>
      </x:c>
      <x:c r="I66" s="95" t="str">
        <x:v>Nacional / regional</x:v>
      </x:c>
      <x:c r="J66" s="95" t="str">
        <x:v>Forestal y productos no madereros</x:v>
      </x:c>
      <x:c r="K66" s="119"/>
      <x:c r="L66" s="120"/>
      <x:c r="M66" s="95" t="str">
        <x:v>Según bases</x:v>
      </x:c>
      <x:c r="N66" s="95" t="str">
        <x:v>Actividades de plan de manejo, regeneración, protección y producción</x:v>
      </x:c>
      <x:c r="O66" s="95" t="str">
        <x:v>Propiedad del predio y plan de manejo</x:v>
      </x:c>
      <x:c r="P66" s="95" t="str">
        <x:v>Admisibilidad depende de la convocatoria</x:v>
      </x:c>
      <x:c r="Q66" s="95" t="str">
        <x:v>Anual o regional</x:v>
      </x:c>
      <x:c r="R66" s="95" t="str">
        <x:v>Concurso 2026 cerrado; resultados 28-08-2026</x:v>
      </x:c>
      <x:c r="S66" s="95" t="str">
        <x:v>Media</x:v>
      </x:c>
      <x:c r="T66" s="95" t="str">
        <x:v>Propietario rural con bosque nativo</x:v>
      </x:c>
      <x:c r="U66" s="95" t="str">
        <x:v>Revisar próxima convocatoria oficial</x:v>
      </x:c>
      <x:c r="V66" s="95" t="str">
        <x:v>https://concursolbn.conaf.cl/</x:v>
      </x:c>
      <x:c r="W66" s="121" t="str">
        <x:v>2026-08-28</x:v>
      </x:c>
      <x:c r="X66" s="96" t="str">
        <x:v>Media</x:v>
      </x:c>
    </x:row>
    <x:row r="67">
      <x:c r="A67" s="93" t="str">
        <x:v>INS-063</x:v>
      </x:c>
      <x:c r="B67" s="95" t="str">
        <x:v>Fundación Luksic</x:v>
      </x:c>
      <x:c r="C67" s="95" t="str">
        <x:v>Impulso Chileno</x:v>
      </x:c>
      <x:c r="D67" s="95" t="str">
        <x:v>Premio y acompañamiento</x:v>
      </x:c>
      <x:c r="E67" s="95" t="str">
        <x:v>Sí</x:v>
      </x:c>
      <x:c r="F67" s="95" t="str">
        <x:v>Ventas formales baja escala</x:v>
      </x:c>
      <x:c r="G67" s="95" t="str">
        <x:v>Primera categoría antes del 01-03-2026</x:v>
      </x:c>
      <x:c r="H67" s="95" t="str">
        <x:v>Negocios con ventas anuales de 150 a 5.000 UF</x:v>
      </x:c>
      <x:c r="I67" s="95" t="str">
        <x:v>Nacional / regional</x:v>
      </x:c>
      <x:c r="J67" s="95" t="str">
        <x:v>Multisectorial</x:v>
      </x:c>
      <x:c r="K67" s="119" t="n">
        <x:v>5000000</x:v>
      </x:c>
      <x:c r="L67" s="120"/>
      <x:c r="M67" s="95" t="str">
        <x:v>Según bases</x:v>
      </x:c>
      <x:c r="N67" s="95" t="str">
        <x:v>Activos, digitalización, difusión y capital de trabajo</x:v>
      </x:c>
      <x:c r="O67" s="95" t="str">
        <x:v>Registro en La Brújula y ventas dentro de rango</x:v>
      </x:c>
      <x:c r="P67" s="95" t="str">
        <x:v>Admisibilidad depende de la convocatoria</x:v>
      </x:c>
      <x:c r="Q67" s="95" t="str">
        <x:v>Anual o regional</x:v>
      </x:c>
      <x:c r="R67" s="95" t="str">
        <x:v>Próxima apertura 01-09-2026</x:v>
      </x:c>
      <x:c r="S67" s="95" t="str">
        <x:v>Alta</x:v>
      </x:c>
      <x:c r="T67" s="95" t="str">
        <x:v>Microempresa formal con ventas y necesidad de inversión</x:v>
      </x:c>
      <x:c r="U67" s="95" t="str">
        <x:v>Revisar próxima convocatoria oficial</x:v>
      </x:c>
      <x:c r="V67" s="95" t="str">
        <x:v>https://fundacionluksic.cl/noticias/proximas-convocatorias/</x:v>
      </x:c>
      <x:c r="W67" s="121" t="str">
        <x:v>2026-08-28</x:v>
      </x:c>
      <x:c r="X67" s="96" t="str">
        <x:v>Media</x:v>
      </x:c>
    </x:row>
    <x:row r="68">
      <x:c r="A68" s="93" t="str">
        <x:v>INS-064</x:v>
      </x:c>
      <x:c r="B68" s="95" t="str">
        <x:v>Fundación Luksic</x:v>
      </x:c>
      <x:c r="C68" s="95" t="str">
        <x:v>Impulso Senior</x:v>
      </x:c>
      <x:c r="D68" s="95" t="str">
        <x:v>Premio y acompañamiento</x:v>
      </x:c>
      <x:c r="E68" s="95" t="str">
        <x:v>Sí</x:v>
      </x:c>
      <x:c r="F68" s="95" t="str">
        <x:v>Idea; ventas informales; ventas formales baja escala</x:v>
      </x:c>
      <x:c r="G68" s="95" t="str">
        <x:v>Según bases</x:v>
      </x:c>
      <x:c r="H68" s="95" t="str">
        <x:v>Personas mayores en emprendimiento</x:v>
      </x:c>
      <x:c r="I68" s="95" t="str">
        <x:v>Nacional / regional</x:v>
      </x:c>
      <x:c r="J68" s="95" t="str">
        <x:v>Multisectorial</x:v>
      </x:c>
      <x:c r="K68" s="119"/>
      <x:c r="L68" s="120"/>
      <x:c r="M68" s="95" t="str">
        <x:v>Según bases</x:v>
      </x:c>
      <x:c r="N68" s="95" t="str">
        <x:v>Capital y acompañamiento</x:v>
      </x:c>
      <x:c r="O68" s="95" t="str">
        <x:v>Edad y condiciones de convocatoria</x:v>
      </x:c>
      <x:c r="P68" s="95" t="str">
        <x:v>Admisibilidad depende de la convocatoria</x:v>
      </x:c>
      <x:c r="Q68" s="95" t="str">
        <x:v>Anual o regional</x:v>
      </x:c>
      <x:c r="R68" s="95" t="str">
        <x:v>Convocatoria 2026 cerrada</x:v>
      </x:c>
      <x:c r="S68" s="95" t="str">
        <x:v>Media</x:v>
      </x:c>
      <x:c r="T68" s="95" t="str">
        <x:v>Emprendedor senior</x:v>
      </x:c>
      <x:c r="U68" s="95" t="str">
        <x:v>Revisar próxima convocatoria oficial</x:v>
      </x:c>
      <x:c r="V68" s="95" t="str">
        <x:v>https://fundacionluksic.cl/que-hacemos/impulso-senior/</x:v>
      </x:c>
      <x:c r="W68" s="121" t="str">
        <x:v>2026-08-28</x:v>
      </x:c>
      <x:c r="X68" s="96" t="str">
        <x:v>Media</x:v>
      </x:c>
    </x:row>
    <x:row r="69">
      <x:c r="A69" s="93" t="str">
        <x:v>INS-065</x:v>
      </x:c>
      <x:c r="B69" s="95" t="str">
        <x:v>G100 / Nada Nos Detiene</x:v>
      </x:c>
      <x:c r="C69" s="95" t="str">
        <x:v>Nada Nos Detiene La Araucana</x:v>
      </x:c>
      <x:c r="D69" s="95" t="str">
        <x:v>Premio</x:v>
      </x:c>
      <x:c r="E69" s="95" t="str">
        <x:v>Sí</x:v>
      </x:c>
      <x:c r="F69" s="95" t="str">
        <x:v>Ventas informales; ventas formales baja escala</x:v>
      </x:c>
      <x:c r="G69" s="95" t="str">
        <x:v>No exige formalización inicial; disposición a formalizar según bases</x:v>
      </x:c>
      <x:c r="H69" s="95" t="str">
        <x:v>Afiliados a Caja La Araucana</x:v>
      </x:c>
      <x:c r="I69" s="95" t="str">
        <x:v>Nacional / regional</x:v>
      </x:c>
      <x:c r="J69" s="95" t="str">
        <x:v>Salud, educación o empleo</x:v>
      </x:c>
      <x:c r="K69" s="119" t="n">
        <x:v>10000000</x:v>
      </x:c>
      <x:c r="L69" s="120"/>
      <x:c r="M69" s="95" t="str">
        <x:v>Según bases</x:v>
      </x:c>
      <x:c r="N69" s="95" t="str">
        <x:v>Premio de libre inversión según bases, mentoría y difusión</x:v>
      </x:c>
      <x:c r="O69" s="95" t="str">
        <x:v>Afiliación e impacto en categoría</x:v>
      </x:c>
      <x:c r="P69" s="95" t="str">
        <x:v>Admisibilidad depende de la convocatoria</x:v>
      </x:c>
      <x:c r="Q69" s="95" t="str">
        <x:v>Anual o regional</x:v>
      </x:c>
      <x:c r="R69" s="95" t="str">
        <x:v>Abierta hasta 17-09-2026</x:v>
      </x:c>
      <x:c r="S69" s="95" t="str">
        <x:v>Alta</x:v>
      </x:c>
      <x:c r="T69" s="95" t="str">
        <x:v>Emprendimiento activo afiliado y con impacto</x:v>
      </x:c>
      <x:c r="U69" s="95" t="str">
        <x:v>Revisar próxima convocatoria oficial</x:v>
      </x:c>
      <x:c r="V69" s="95" t="str">
        <x:v>https://participa.nadanosdetiene.cl/laaraucana</x:v>
      </x:c>
      <x:c r="W69" s="121" t="str">
        <x:v>2026-08-28</x:v>
      </x:c>
      <x:c r="X69" s="96" t="str">
        <x:v>Media</x:v>
      </x:c>
    </x:row>
    <x:row r="70">
      <x:c r="A70" s="93" t="str">
        <x:v>INS-066</x:v>
      </x:c>
      <x:c r="B70" s="95" t="str">
        <x:v>G100 / Nada Nos Detiene</x:v>
      </x:c>
      <x:c r="C70" s="95" t="str">
        <x:v>Nada Nos Detiene Territorial</x:v>
      </x:c>
      <x:c r="D70" s="95" t="str">
        <x:v>Premio</x:v>
      </x:c>
      <x:c r="E70" s="95" t="str">
        <x:v>Sí</x:v>
      </x:c>
      <x:c r="F70" s="95" t="str">
        <x:v>Ventas informales; ventas formales baja escala</x:v>
      </x:c>
      <x:c r="G70" s="95" t="str">
        <x:v>Variable</x:v>
      </x:c>
      <x:c r="H70" s="95" t="str">
        <x:v>Emprendedores de comuna o región convocada</x:v>
      </x:c>
      <x:c r="I70" s="95" t="str">
        <x:v>Territorial</x:v>
      </x:c>
      <x:c r="J70" s="95" t="str">
        <x:v>Multisectorial</x:v>
      </x:c>
      <x:c r="K70" s="119" t="n">
        <x:v>5000000</x:v>
      </x:c>
      <x:c r="L70" s="120"/>
      <x:c r="M70" s="95" t="str">
        <x:v>Según bases</x:v>
      </x:c>
      <x:c r="N70" s="95" t="str">
        <x:v>Premios, mentoría y visibilidad</x:v>
      </x:c>
      <x:c r="O70" s="95" t="str">
        <x:v>Residencia o actividad en territorio</x:v>
      </x:c>
      <x:c r="P70" s="95" t="str">
        <x:v>Admisibilidad depende de la convocatoria</x:v>
      </x:c>
      <x:c r="Q70" s="95" t="str">
        <x:v>Anual o regional</x:v>
      </x:c>
      <x:c r="R70" s="95" t="str">
        <x:v>Convocatorias territoriales durante 2026</x:v>
      </x:c>
      <x:c r="S70" s="95" t="str">
        <x:v>Alta</x:v>
      </x:c>
      <x:c r="T70" s="95" t="str">
        <x:v>Emprendimiento en territorio con campeonato abierto</x:v>
      </x:c>
      <x:c r="U70" s="95" t="str">
        <x:v>Revisar próxima convocatoria oficial</x:v>
      </x:c>
      <x:c r="V70" s="95" t="str">
        <x:v>https://participa.nadanosdetiene.cl/</x:v>
      </x:c>
      <x:c r="W70" s="121" t="str">
        <x:v>2026-08-28</x:v>
      </x:c>
      <x:c r="X70" s="96" t="str">
        <x:v>Media</x:v>
      </x:c>
    </x:row>
    <x:row r="71">
      <x:c r="A71" s="93" t="str">
        <x:v>INS-067</x:v>
      </x:c>
      <x:c r="B71" s="95" t="str">
        <x:v>Banco de Chile</x:v>
      </x:c>
      <x:c r="C71" s="95" t="str">
        <x:v>Desafío Emprendedor</x:v>
      </x:c>
      <x:c r="D71" s="95" t="str">
        <x:v>Premio</x:v>
      </x:c>
      <x:c r="E71" s="95" t="str">
        <x:v>Sí</x:v>
      </x:c>
      <x:c r="F71" s="95" t="str">
        <x:v>Ventas informales; ventas formales baja escala</x:v>
      </x:c>
      <x:c r="G71" s="95" t="str">
        <x:v>Según categoría</x:v>
      </x:c>
      <x:c r="H71" s="95" t="str">
        <x:v>Emprendedores y pymes</x:v>
      </x:c>
      <x:c r="I71" s="95" t="str">
        <x:v>Nacional / regional</x:v>
      </x:c>
      <x:c r="J71" s="95" t="str">
        <x:v>Multisectorial</x:v>
      </x:c>
      <x:c r="K71" s="119"/>
      <x:c r="L71" s="120"/>
      <x:c r="M71" s="95" t="str">
        <x:v>Según bases</x:v>
      </x:c>
      <x:c r="N71" s="95" t="str">
        <x:v>Premios y formación</x:v>
      </x:c>
      <x:c r="O71" s="95" t="str">
        <x:v>Categoría y avance del negocio</x:v>
      </x:c>
      <x:c r="P71" s="95" t="str">
        <x:v>Admisibilidad depende de la convocatoria</x:v>
      </x:c>
      <x:c r="Q71" s="95" t="str">
        <x:v>Anual o regional</x:v>
      </x:c>
      <x:c r="R71" s="95" t="str">
        <x:v>Décima versión finalizó en febrero 2026</x:v>
      </x:c>
      <x:c r="S71" s="95" t="str">
        <x:v>Media</x:v>
      </x:c>
      <x:c r="T71" s="95" t="str">
        <x:v>Emprendimiento con historia y potencial de crecimiento</x:v>
      </x:c>
      <x:c r="U71" s="95" t="str">
        <x:v>Revisar próxima convocatoria oficial</x:v>
      </x:c>
      <x:c r="V71" s="95" t="str">
        <x:v>https://desafioemprendedor.cl/</x:v>
      </x:c>
      <x:c r="W71" s="121" t="str">
        <x:v>2026-08-28</x:v>
      </x:c>
      <x:c r="X71" s="96" t="str">
        <x:v>Media</x:v>
      </x:c>
    </x:row>
    <x:row r="72">
      <x:c r="A72" s="93" t="str">
        <x:v>INS-068</x:v>
      </x:c>
      <x:c r="B72" s="95" t="str">
        <x:v>Santander Chile</x:v>
      </x:c>
      <x:c r="C72" s="95" t="str">
        <x:v>Santander X Award Chile</x:v>
      </x:c>
      <x:c r="D72" s="95" t="str">
        <x:v>Premio</x:v>
      </x:c>
      <x:c r="E72" s="95" t="str">
        <x:v>Sí</x:v>
      </x:c>
      <x:c r="F72" s="95" t="str">
        <x:v>Incubación; ventas formales baja escala</x:v>
      </x:c>
      <x:c r="G72" s="95" t="str">
        <x:v>Según categoría</x:v>
      </x:c>
      <x:c r="H72" s="95" t="str">
        <x:v>Startups, pymes y emprendimientos universitarios</x:v>
      </x:c>
      <x:c r="I72" s="95" t="str">
        <x:v>Nacional / regional</x:v>
      </x:c>
      <x:c r="J72" s="95" t="str">
        <x:v>Multisectorial</x:v>
      </x:c>
      <x:c r="K72" s="119"/>
      <x:c r="L72" s="120"/>
      <x:c r="M72" s="95" t="str">
        <x:v>Según bases</x:v>
      </x:c>
      <x:c r="N72" s="95" t="str">
        <x:v>Premios, visibilidad y red</x:v>
      </x:c>
      <x:c r="O72" s="95" t="str">
        <x:v>Categoría y criterios de innovación/crecimiento</x:v>
      </x:c>
      <x:c r="P72" s="95" t="str">
        <x:v>Admisibilidad depende de la convocatoria</x:v>
      </x:c>
      <x:c r="Q72" s="95" t="str">
        <x:v>Anual o regional</x:v>
      </x:c>
      <x:c r="R72" s="95" t="str">
        <x:v>Convocatoria 2026 cerrada</x:v>
      </x:c>
      <x:c r="S72" s="95" t="str">
        <x:v>Media</x:v>
      </x:c>
      <x:c r="T72" s="95" t="str">
        <x:v>Startup o pyme con innovación y pitch</x:v>
      </x:c>
      <x:c r="U72" s="95" t="str">
        <x:v>Revisar próxima convocatoria oficial</x:v>
      </x:c>
      <x:c r="V72" s="95" t="str">
        <x:v>https://www.santanderx.com/</x:v>
      </x:c>
      <x:c r="W72" s="121" t="str">
        <x:v>2026-08-28</x:v>
      </x:c>
      <x:c r="X72" s="96" t="str">
        <x:v>Media</x:v>
      </x:c>
    </x:row>
    <x:row r="73">
      <x:c r="A73" s="93" t="str">
        <x:v>INS-069</x:v>
      </x:c>
      <x:c r="B73" s="95" t="str">
        <x:v>Caja Los Andes</x:v>
      </x:c>
      <x:c r="C73" s="95" t="str">
        <x:v>TECLA</x:v>
      </x:c>
      <x:c r="D73" s="95" t="str">
        <x:v>Premio y aceleración</x:v>
      </x:c>
      <x:c r="E73" s="95" t="str">
        <x:v>Sí</x:v>
      </x:c>
      <x:c r="F73" s="95" t="str">
        <x:v>Incubación; ventas formales baja escala</x:v>
      </x:c>
      <x:c r="G73" s="95" t="str">
        <x:v>Según bases</x:v>
      </x:c>
      <x:c r="H73" s="95" t="str">
        <x:v>Emprendimientos de impacto social o ambiental</x:v>
      </x:c>
      <x:c r="I73" s="95" t="str">
        <x:v>Nacional / regional</x:v>
      </x:c>
      <x:c r="J73" s="95" t="str">
        <x:v>Multisectorial</x:v>
      </x:c>
      <x:c r="K73" s="119"/>
      <x:c r="L73" s="120"/>
      <x:c r="M73" s="95" t="str">
        <x:v>Según bases</x:v>
      </x:c>
      <x:c r="N73" s="95" t="str">
        <x:v>Premio, mentoría y visibilidad</x:v>
      </x:c>
      <x:c r="O73" s="95" t="str">
        <x:v>Impacto medible y modelo de negocio</x:v>
      </x:c>
      <x:c r="P73" s="95" t="str">
        <x:v>Admisibilidad depende de la convocatoria</x:v>
      </x:c>
      <x:c r="Q73" s="95" t="str">
        <x:v>Anual o regional</x:v>
      </x:c>
      <x:c r="R73" s="95" t="str">
        <x:v>Última versión observada 2025; 2026 no verificada</x:v>
      </x:c>
      <x:c r="S73" s="95" t="str">
        <x:v>Media</x:v>
      </x:c>
      <x:c r="T73" s="95" t="str">
        <x:v>Emprendimiento de impacto con solución validada</x:v>
      </x:c>
      <x:c r="U73" s="95" t="str">
        <x:v>Revisar próxima convocatoria oficial</x:v>
      </x:c>
      <x:c r="V73" s="95" t="str">
        <x:v>https://www.tecla.cl/</x:v>
      </x:c>
      <x:c r="W73" s="121" t="str">
        <x:v>2026-08-28</x:v>
      </x:c>
      <x:c r="X73" s="96" t="str">
        <x:v>Baja</x:v>
      </x:c>
    </x:row>
    <x:row r="74">
      <x:c r="A74" s="93" t="str">
        <x:v>INS-070</x:v>
      </x:c>
      <x:c r="B74" s="95" t="str">
        <x:v>Fundación Copec-UC</x:v>
      </x:c>
      <x:c r="C74" s="95" t="str">
        <x:v>I+D para Innovar</x:v>
      </x:c>
      <x:c r="D74" s="95" t="str">
        <x:v>Subsidio / premio I+D</x:v>
      </x:c>
      <x:c r="E74" s="95" t="str">
        <x:v>Sí</x:v>
      </x:c>
      <x:c r="F74" s="95" t="str">
        <x:v>Incubación</x:v>
      </x:c>
      <x:c r="G74" s="95" t="str">
        <x:v>Startup, empresa o institución con capacidades</x:v>
      </x:c>
      <x:c r="H74" s="95" t="str">
        <x:v>Proyecto tecnológico desde TRL 3</x:v>
      </x:c>
      <x:c r="I74" s="95" t="str">
        <x:v>Nacional / regional</x:v>
      </x:c>
      <x:c r="J74" s="95" t="str">
        <x:v>Ciencia y tecnología</x:v>
      </x:c>
      <x:c r="K74" s="119"/>
      <x:c r="L74" s="120"/>
      <x:c r="M74" s="95" t="str">
        <x:v>Según bases</x:v>
      </x:c>
      <x:c r="N74" s="95" t="str">
        <x:v>Investigación aplicada y desarrollo tecnológico</x:v>
      </x:c>
      <x:c r="O74" s="95" t="str">
        <x:v>Novedad, equipo técnico e I+D</x:v>
      </x:c>
      <x:c r="P74" s="95" t="str">
        <x:v>Admisibilidad depende de la convocatoria</x:v>
      </x:c>
      <x:c r="Q74" s="95" t="str">
        <x:v>Anual o regional</x:v>
      </x:c>
      <x:c r="R74" s="95" t="str">
        <x:v>Convocatoria 2026 cerrada</x:v>
      </x:c>
      <x:c r="S74" s="95" t="str">
        <x:v>Baja</x:v>
      </x:c>
      <x:c r="T74" s="95" t="str">
        <x:v>Startup científico-tecnológica con proyecto sólido</x:v>
      </x:c>
      <x:c r="U74" s="95" t="str">
        <x:v>Revisar próxima convocatoria oficial</x:v>
      </x:c>
      <x:c r="V74" s="95" t="str">
        <x:v>https://fundcopec-uc.cl/</x:v>
      </x:c>
      <x:c r="W74" s="121" t="str">
        <x:v>2026-08-28</x:v>
      </x:c>
      <x:c r="X74" s="96" t="str">
        <x:v>Media</x:v>
      </x:c>
    </x:row>
    <x:row r="75">
      <x:c r="A75" s="100" t="str">
        <x:v>INS-071</x:v>
      </x:c>
      <x:c r="B75" s="102" t="str">
        <x:v>Ministerio de Energía</x:v>
      </x:c>
      <x:c r="C75" s="102" t="str">
        <x:v>Ponle Energía a tu Empresa</x:v>
      </x:c>
      <x:c r="D75" s="102" t="str">
        <x:v>Subsidio</x:v>
      </x:c>
      <x:c r="E75" s="102" t="str">
        <x:v>Sí</x:v>
      </x:c>
      <x:c r="F75" s="102" t="str">
        <x:v>Ventas formales baja escala</x:v>
      </x:c>
      <x:c r="G75" s="102" t="str">
        <x:v>Empresa formal</x:v>
      </x:c>
      <x:c r="H75" s="102" t="str">
        <x:v>Empresas con inversión energética</x:v>
      </x:c>
      <x:c r="I75" s="102" t="str">
        <x:v>Nacional / regional</x:v>
      </x:c>
      <x:c r="J75" s="102" t="str">
        <x:v>Energía y sostenibilidad</x:v>
      </x:c>
      <x:c r="K75" s="122" t="n">
        <x:v>60000000</x:v>
      </x:c>
      <x:c r="L75" s="123"/>
      <x:c r="M75" s="102" t="str">
        <x:v>Según bases</x:v>
      </x:c>
      <x:c r="N75" s="102" t="str">
        <x:v>Eficiencia energética y energías renovables</x:v>
      </x:c>
      <x:c r="O75" s="102" t="str">
        <x:v>Proyecto técnico y cofinanciamiento</x:v>
      </x:c>
      <x:c r="P75" s="102" t="str">
        <x:v>Admisibilidad depende de la convocatoria</x:v>
      </x:c>
      <x:c r="Q75" s="102" t="str">
        <x:v>Anual o regional</x:v>
      </x:c>
      <x:c r="R75" s="102" t="str">
        <x:v>Sin convocatoria 2026 verificada; referencia histórica</x:v>
      </x:c>
      <x:c r="S75" s="102" t="str">
        <x:v>Baja</x:v>
      </x:c>
      <x:c r="T75" s="102" t="str">
        <x:v>Empresa formal con proyecto energético cuantificado</x:v>
      </x:c>
      <x:c r="U75" s="102" t="str">
        <x:v>Revisar próxima convocatoria oficial</x:v>
      </x:c>
      <x:c r="V75" s="102" t="str">
        <x:v>https://energia.gob.cl/</x:v>
      </x:c>
      <x:c r="W75" s="101" t="str">
        <x:v>2026-08-28</x:v>
      </x:c>
      <x:c r="X75" s="103" t="str">
        <x:v>Baja</x:v>
      </x:c>
    </x:row>
  </x:sheetData>
  <x:mergeCells>
    <x:mergeCell ref="A1:X1"/>
    <x:mergeCell ref="A2:X2"/>
  </x:mergeCells>
  <x:conditionalFormatting sqref="S5:S75">
    <x:cfRule type="expression" dxfId="0" priority="1">
      <x:formula>S5="Alta"</x:formula>
    </x:cfRule>
    <x:cfRule type="expression" dxfId="1" priority="2">
      <x:formula>S5="Baja"</x:formula>
    </x:cfRule>
  </x:conditionalFormatting>
  <x:dataValidations count="3">
    <x:dataValidation type="list" sqref="E5:E75">
      <x:formula1>"Sí,Sí, en especie,Parcial,Por verificar"</x:formula1>
    </x:dataValidation>
    <x:dataValidation type="list" sqref="S5:S75">
      <x:formula1>"Alta,Media,Baja,Fuera de foco"</x:formula1>
    </x:dataValidation>
    <x:dataValidation type="list" sqref="X5:X75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87fbdee80d4b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38" hidden="0" customWidth="1"/>
    <x:col min="5" max="5" width="26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  <x:col min="14" max="14" width="34" hidden="0" customWidth="1"/>
    <x:col min="15" max="15" width="46" hidden="0" customWidth="1"/>
    <x:col min="16" max="16" width="16" hidden="0" customWidth="1"/>
    <x:col min="17" max="17" width="16" hidden="0" customWidth="1"/>
  </x:cols>
  <x:sheetData>
    <x:row r="1" ht="34" customHeight="1">
      <x:c r="A1" s="81" t="str">
        <x:v>Convocatorias verificadas y observadas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</x:row>
    <x:row r="2" ht="32" customHeight="1">
      <x:c r="A2" s="82" t="str">
        <x:v>Capa temporal del catálogo. Estado verificado al 28-08-2026; actualizar antes de publicar resultados.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</x:row>
    <x:row r="4" ht="38" customHeight="1">
      <x:c r="A4" s="84" t="str">
        <x:v>Convocatoria ID</x:v>
      </x:c>
      <x:c r="B4" s="84" t="str">
        <x:v>Instrumento ID</x:v>
      </x:c>
      <x:c r="C4" s="84" t="str">
        <x:v>Entidad</x:v>
      </x:c>
      <x:c r="D4" s="84" t="str">
        <x:v>Convocatoria</x:v>
      </x:c>
      <x:c r="E4" s="84" t="str">
        <x:v>Territorio</x:v>
      </x:c>
      <x:c r="F4" s="84" t="str">
        <x:v>Sector/foco</x:v>
      </x:c>
      <x:c r="G4" s="84" t="str">
        <x:v>Apertura</x:v>
      </x:c>
      <x:c r="H4" s="84" t="str">
        <x:v>Cierre</x:v>
      </x:c>
      <x:c r="I4" s="84" t="str">
        <x:v>Estado</x:v>
      </x:c>
      <x:c r="J4" s="84" t="str">
        <x:v>Monto máx. CLP</x:v>
      </x:c>
      <x:c r="K4" s="84" t="str">
        <x:v>% cofinanciamiento público</x:v>
      </x:c>
      <x:c r="L4" s="84" t="str">
        <x:v>Aporte</x:v>
      </x:c>
      <x:c r="M4" s="84" t="str">
        <x:v>Elegibilidad clave</x:v>
      </x:c>
      <x:c r="N4" s="84" t="str">
        <x:v>Alerta excluyente</x:v>
      </x:c>
      <x:c r="O4" s="84" t="str">
        <x:v>URL oficial</x:v>
      </x:c>
      <x:c r="P4" s="84" t="str">
        <x:v>Verificado</x:v>
      </x:c>
      <x:c r="Q4" s="84" t="str">
        <x:v>Días restantes</x:v>
      </x:c>
    </x:row>
    <x:row r="5">
      <x:c r="A5" s="86" t="str">
        <x:v>CONV-001</x:v>
      </x:c>
      <x:c r="B5" s="88" t="str">
        <x:v>INS-001</x:v>
      </x:c>
      <x:c r="C5" s="88" t="str">
        <x:v>FOSIS</x:v>
      </x:c>
      <x:c r="D5" s="88" t="str">
        <x:v>Emprendamos Semilla 2026</x:v>
      </x:c>
      <x:c r="E5" s="88" t="str">
        <x:v>Nacional</x:v>
      </x:c>
      <x:c r="F5" s="88" t="str">
        <x:v>Multisectorial</x:v>
      </x:c>
      <x:c r="G5" s="118"/>
      <x:c r="H5" s="118" t="n">
        <x:v>46150</x:v>
      </x:c>
      <x:c r="I5" s="88" t="str">
        <x:v>Cerrada</x:v>
      </x:c>
      <x:c r="J5" s="116" t="n">
        <x:v>700000</x:v>
      </x:c>
      <x:c r="K5" s="117"/>
      <x:c r="L5" s="88" t="str">
        <x:v>Según bases</x:v>
      </x:c>
      <x:c r="M5" s="88" t="str">
        <x:v>18+, RSH, residencia y criterios regionales</x:v>
      </x:c>
      <x:c r="N5" s="88" t="str">
        <x:v>Revisar requisitos excluyentes</x:v>
      </x:c>
      <x:c r="O5" s="88" t="str">
        <x:v>https://www.fosis.gob.cl/es/postulaciones/</x:v>
      </x:c>
      <x:c r="P5" s="118" t="n">
        <x:v>46262</x:v>
      </x:c>
      <x:c r="Q5" s="124" t="str">
        <x:f>IF(OR(H5="",I5="Cerrada"),"",MAX(0,H5-DATE(2026,8,28)))</x:f>
      </x:c>
    </x:row>
    <x:row r="6">
      <x:c r="A6" s="93" t="str">
        <x:v>CONV-002</x:v>
      </x:c>
      <x:c r="B6" s="95" t="str">
        <x:v>INS-002</x:v>
      </x:c>
      <x:c r="C6" s="95" t="str">
        <x:v>FOSIS</x:v>
      </x:c>
      <x:c r="D6" s="95" t="str">
        <x:v>Emprendamos 2026</x:v>
      </x:c>
      <x:c r="E6" s="95" t="str">
        <x:v>Nacional</x:v>
      </x:c>
      <x:c r="F6" s="95" t="str">
        <x:v>Multisectorial</x:v>
      </x:c>
      <x:c r="G6" s="121"/>
      <x:c r="H6" s="121" t="n">
        <x:v>46150</x:v>
      </x:c>
      <x:c r="I6" s="95" t="str">
        <x:v>Cerrada</x:v>
      </x:c>
      <x:c r="J6" s="119" t="n">
        <x:v>700000</x:v>
      </x:c>
      <x:c r="K6" s="120"/>
      <x:c r="L6" s="95" t="str">
        <x:v>Según bases</x:v>
      </x:c>
      <x:c r="M6" s="95" t="str">
        <x:v>Inicio SII, ventas sobre umbral y RSH</x:v>
      </x:c>
      <x:c r="N6" s="95" t="str">
        <x:v>Revisar requisitos excluyentes</x:v>
      </x:c>
      <x:c r="O6" s="95" t="str">
        <x:v>https://www.fosis.gob.cl/es/postulaciones/</x:v>
      </x:c>
      <x:c r="P6" s="121" t="n">
        <x:v>46262</x:v>
      </x:c>
      <x:c r="Q6" s="125" t="str">
        <x:f>IF(OR(H6="",I6="Cerrada"),"",MAX(0,H6-DATE(2026,8,28)))</x:f>
      </x:c>
    </x:row>
    <x:row r="7">
      <x:c r="A7" s="93" t="str">
        <x:v>CONV-003</x:v>
      </x:c>
      <x:c r="B7" s="95" t="str">
        <x:v>INS-004</x:v>
      </x:c>
      <x:c r="C7" s="95" t="str">
        <x:v>FOSIS</x:v>
      </x:c>
      <x:c r="D7" s="95" t="str">
        <x:v>Emprendamos Grupal Autogestionado Magallanes 2026</x:v>
      </x:c>
      <x:c r="E7" s="95" t="str">
        <x:v>Magallanes</x:v>
      </x:c>
      <x:c r="F7" s="95" t="str">
        <x:v>Multisectorial</x:v>
      </x:c>
      <x:c r="G7" s="121" t="n">
        <x:v>46254</x:v>
      </x:c>
      <x:c r="H7" s="121"/>
      <x:c r="I7" s="95" t="str">
        <x:v>Abierta</x:v>
      </x:c>
      <x:c r="J7" s="119" t="n">
        <x:v>5000000</x:v>
      </x:c>
      <x:c r="K7" s="120"/>
      <x:c r="L7" s="95" t="str">
        <x:v>Según bases</x:v>
      </x:c>
      <x:c r="M7" s="95" t="str">
        <x:v>Organización regional según bases</x:v>
      </x:c>
      <x:c r="N7" s="95" t="str">
        <x:v>Fecha de cierre debe confirmarse en bases</x:v>
      </x:c>
      <x:c r="O7" s="95" t="str">
        <x:v>https://www.fosis.gob.cl/es/noticias/</x:v>
      </x:c>
      <x:c r="P7" s="121" t="n">
        <x:v>46262</x:v>
      </x:c>
      <x:c r="Q7" s="125" t="str">
        <x:f>IF(OR(H7="",I7="Cerrada"),"",MAX(0,H7-DATE(2026,8,28)))</x:f>
      </x:c>
    </x:row>
    <x:row r="8">
      <x:c r="A8" s="93" t="str">
        <x:v>CONV-004</x:v>
      </x:c>
      <x:c r="B8" s="95" t="str">
        <x:v>INS-008</x:v>
      </x:c>
      <x:c r="C8" s="95" t="str">
        <x:v>Sercotec</x:v>
      </x:c>
      <x:c r="D8" s="95" t="str">
        <x:v>Capital Semilla Modo Empleo Los Ríos</x:v>
      </x:c>
      <x:c r="E8" s="95" t="str">
        <x:v>Los Ríos</x:v>
      </x:c>
      <x:c r="F8" s="95" t="str">
        <x:v>Multisectorial</x:v>
      </x:c>
      <x:c r="G8" s="121" t="n">
        <x:v>46259</x:v>
      </x:c>
      <x:c r="H8" s="121" t="n">
        <x:v>46273</x:v>
      </x:c>
      <x:c r="I8" s="95" t="str">
        <x:v>Abierta</x:v>
      </x:c>
      <x:c r="J8" s="119" t="n">
        <x:v>3000000</x:v>
      </x:c>
      <x:c r="K8" s="120" t="n">
        <x:v>0.97</x:v>
      </x:c>
      <x:c r="L8" s="95" t="str">
        <x:v>3%</x:v>
      </x:c>
      <x:c r="M8" s="95" t="str">
        <x:v>Sin inicio de actividades; grupo etario y condición laboral</x:v>
      </x:c>
      <x:c r="N8" s="95" t="str">
        <x:v>Revisar requisitos excluyentes</x:v>
      </x:c>
      <x:c r="O8" s="95" t="str">
        <x:v>https://www.sercotec.cl/convocatoria/capital-semilla-modo-empleo-region-de-los-rios/</x:v>
      </x:c>
      <x:c r="P8" s="121" t="n">
        <x:v>46262</x:v>
      </x:c>
      <x:c r="Q8" s="125" t="n">
        <x:f>IF(OR(H8="",I8="Cerrada"),"",MAX(0,H8-DATE(2026,8,28)))</x:f>
        <x:v>11</x:v>
      </x:c>
    </x:row>
    <x:row r="9">
      <x:c r="A9" s="93" t="str">
        <x:v>CONV-005</x:v>
      </x:c>
      <x:c r="B9" s="95" t="str">
        <x:v>INS-008</x:v>
      </x:c>
      <x:c r="C9" s="95" t="str">
        <x:v>Sercotec</x:v>
      </x:c>
      <x:c r="D9" s="95" t="str">
        <x:v>Capital Semilla Modo Empleo Los Lagos</x:v>
      </x:c>
      <x:c r="E9" s="95" t="str">
        <x:v>Los Lagos</x:v>
      </x:c>
      <x:c r="F9" s="95" t="str">
        <x:v>Multisectorial</x:v>
      </x:c>
      <x:c r="G9" s="121" t="n">
        <x:v>46259</x:v>
      </x:c>
      <x:c r="H9" s="121" t="n">
        <x:v>46273</x:v>
      </x:c>
      <x:c r="I9" s="95" t="str">
        <x:v>Abierta</x:v>
      </x:c>
      <x:c r="J9" s="119" t="n">
        <x:v>3000000</x:v>
      </x:c>
      <x:c r="K9" s="120" t="n">
        <x:v>0.97</x:v>
      </x:c>
      <x:c r="L9" s="95" t="str">
        <x:v>3%</x:v>
      </x:c>
      <x:c r="M9" s="95" t="str">
        <x:v>Sin inicio de actividades; grupo etario y condición laboral</x:v>
      </x:c>
      <x:c r="N9" s="95" t="str">
        <x:v>Revisar requisitos excluyentes</x:v>
      </x:c>
      <x:c r="O9" s="95" t="str">
        <x:v>https://widgetsercotec.sercotec.cl/Calendario</x:v>
      </x:c>
      <x:c r="P9" s="121" t="n">
        <x:v>46262</x:v>
      </x:c>
      <x:c r="Q9" s="125" t="n">
        <x:f>IF(OR(H9="",I9="Cerrada"),"",MAX(0,H9-DATE(2026,8,28)))</x:f>
        <x:v>11</x:v>
      </x:c>
    </x:row>
    <x:row r="10">
      <x:c r="A10" s="93" t="str">
        <x:v>CONV-006</x:v>
      </x:c>
      <x:c r="B10" s="95" t="str">
        <x:v>INS-008</x:v>
      </x:c>
      <x:c r="C10" s="95" t="str">
        <x:v>Sercotec</x:v>
      </x:c>
      <x:c r="D10" s="95" t="str">
        <x:v>Capital Semilla Modo Empleo Aysén</x:v>
      </x:c>
      <x:c r="E10" s="95" t="str">
        <x:v>Aysén</x:v>
      </x:c>
      <x:c r="F10" s="95" t="str">
        <x:v>Multisectorial</x:v>
      </x:c>
      <x:c r="G10" s="121" t="n">
        <x:v>46259</x:v>
      </x:c>
      <x:c r="H10" s="121" t="n">
        <x:v>46273</x:v>
      </x:c>
      <x:c r="I10" s="95" t="str">
        <x:v>Abierta</x:v>
      </x:c>
      <x:c r="J10" s="119" t="n">
        <x:v>3000000</x:v>
      </x:c>
      <x:c r="K10" s="120" t="n">
        <x:v>0.97</x:v>
      </x:c>
      <x:c r="L10" s="95" t="str">
        <x:v>3%</x:v>
      </x:c>
      <x:c r="M10" s="95" t="str">
        <x:v>Sin inicio de actividades; grupo etario y condición laboral</x:v>
      </x:c>
      <x:c r="N10" s="95" t="str">
        <x:v>Revisar requisitos excluyentes</x:v>
      </x:c>
      <x:c r="O10" s="95" t="str">
        <x:v>https://widgetsercotec.sercotec.cl/Calendario</x:v>
      </x:c>
      <x:c r="P10" s="121" t="n">
        <x:v>46262</x:v>
      </x:c>
      <x:c r="Q10" s="125" t="n">
        <x:f>IF(OR(H10="",I10="Cerrada"),"",MAX(0,H10-DATE(2026,8,28)))</x:f>
        <x:v>11</x:v>
      </x:c>
    </x:row>
    <x:row r="11">
      <x:c r="A11" s="93" t="str">
        <x:v>CONV-007</x:v>
      </x:c>
      <x:c r="B11" s="95" t="str">
        <x:v>INS-008</x:v>
      </x:c>
      <x:c r="C11" s="95" t="str">
        <x:v>Sercotec</x:v>
      </x:c>
      <x:c r="D11" s="95" t="str">
        <x:v>Capital Semilla Modo Empleo Magallanes</x:v>
      </x:c>
      <x:c r="E11" s="95" t="str">
        <x:v>Magallanes</x:v>
      </x:c>
      <x:c r="F11" s="95" t="str">
        <x:v>Multisectorial</x:v>
      </x:c>
      <x:c r="G11" s="121" t="n">
        <x:v>46259</x:v>
      </x:c>
      <x:c r="H11" s="121" t="n">
        <x:v>46273</x:v>
      </x:c>
      <x:c r="I11" s="95" t="str">
        <x:v>Abierta</x:v>
      </x:c>
      <x:c r="J11" s="119" t="n">
        <x:v>3000000</x:v>
      </x:c>
      <x:c r="K11" s="120" t="n">
        <x:v>0.97</x:v>
      </x:c>
      <x:c r="L11" s="95" t="str">
        <x:v>3%</x:v>
      </x:c>
      <x:c r="M11" s="95" t="str">
        <x:v>Sin inicio de actividades; grupo etario y condición laboral</x:v>
      </x:c>
      <x:c r="N11" s="95" t="str">
        <x:v>Revisar requisitos excluyentes</x:v>
      </x:c>
      <x:c r="O11" s="95" t="str">
        <x:v>https://widgetsercotec.sercotec.cl/Calendario</x:v>
      </x:c>
      <x:c r="P11" s="121" t="n">
        <x:v>46262</x:v>
      </x:c>
      <x:c r="Q11" s="125" t="n">
        <x:f>IF(OR(H11="",I11="Cerrada"),"",MAX(0,H11-DATE(2026,8,28)))</x:f>
        <x:v>11</x:v>
      </x:c>
    </x:row>
    <x:row r="12">
      <x:c r="A12" s="93" t="str">
        <x:v>CONV-008</x:v>
      </x:c>
      <x:c r="B12" s="95" t="str">
        <x:v>INS-009</x:v>
      </x:c>
      <x:c r="C12" s="95" t="str">
        <x:v>Sercotec</x:v>
      </x:c>
      <x:c r="D12" s="95" t="str">
        <x:v>Crece MIPE Porvenir FNDR</x:v>
      </x:c>
      <x:c r="E12" s="95" t="str">
        <x:v>Porvenir, Magallanes</x:v>
      </x:c>
      <x:c r="F12" s="95" t="str">
        <x:v>Multisectorial</x:v>
      </x:c>
      <x:c r="G12" s="121" t="n">
        <x:v>46232</x:v>
      </x:c>
      <x:c r="H12" s="121" t="n">
        <x:v>46268</x:v>
      </x:c>
      <x:c r="I12" s="95" t="str">
        <x:v>Abierta</x:v>
      </x:c>
      <x:c r="J12" s="119" t="n">
        <x:v>3500000</x:v>
      </x:c>
      <x:c r="K12" s="120"/>
      <x:c r="L12" s="95" t="str">
        <x:v>Según bases</x:v>
      </x:c>
      <x:c r="M12" s="95" t="str">
        <x:v>Empresa formal; ventas 100 a 25.000 UF; territorio</x:v>
      </x:c>
      <x:c r="N12" s="95" t="str">
        <x:v>Revisar requisitos excluyentes</x:v>
      </x:c>
      <x:c r="O12" s="95" t="str">
        <x:v>https://www.sercotec.cl/convocatoria/crece-mipe-porvenir-fndr/</x:v>
      </x:c>
      <x:c r="P12" s="121" t="n">
        <x:v>46262</x:v>
      </x:c>
      <x:c r="Q12" s="125" t="n">
        <x:f>IF(OR(H12="",I12="Cerrada"),"",MAX(0,H12-DATE(2026,8,28)))</x:f>
        <x:v>6</x:v>
      </x:c>
    </x:row>
    <x:row r="13">
      <x:c r="A13" s="93" t="str">
        <x:v>CONV-009</x:v>
      </x:c>
      <x:c r="B13" s="95" t="str">
        <x:v>INS-018</x:v>
      </x:c>
      <x:c r="C13" s="95" t="str">
        <x:v>Sercotec</x:v>
      </x:c>
      <x:c r="D13" s="95" t="str">
        <x:v>Reactívate Multisectorial Aysén FNDR</x:v>
      </x:c>
      <x:c r="E13" s="95" t="str">
        <x:v>Aysén</x:v>
      </x:c>
      <x:c r="F13" s="95" t="str">
        <x:v>Multisectorial</x:v>
      </x:c>
      <x:c r="G13" s="121" t="n">
        <x:v>46247</x:v>
      </x:c>
      <x:c r="H13" s="121" t="n">
        <x:v>46268</x:v>
      </x:c>
      <x:c r="I13" s="95" t="str">
        <x:v>Abierta</x:v>
      </x:c>
      <x:c r="J13" s="119" t="n">
        <x:v>10000000</x:v>
      </x:c>
      <x:c r="K13" s="120" t="n">
        <x:v>0.99</x:v>
      </x:c>
      <x:c r="L13" s="95" t="str">
        <x:v>1%</x:v>
      </x:c>
      <x:c r="M13" s="95" t="str">
        <x:v>Inicio SII previo a 01-01-2025 y ventas hasta 25.000 UF</x:v>
      </x:c>
      <x:c r="N13" s="95" t="str">
        <x:v>Revisar requisitos excluyentes</x:v>
      </x:c>
      <x:c r="O13" s="95" t="str">
        <x:v>https://www.sercotec.cl/convocatoria/reactivate-multisectorial-aysen_fndr-2026/</x:v>
      </x:c>
      <x:c r="P13" s="121" t="n">
        <x:v>46262</x:v>
      </x:c>
      <x:c r="Q13" s="125" t="n">
        <x:f>IF(OR(H13="",I13="Cerrada"),"",MAX(0,H13-DATE(2026,8,28)))</x:f>
        <x:v>6</x:v>
      </x:c>
    </x:row>
    <x:row r="14">
      <x:c r="A14" s="93" t="str">
        <x:v>CONV-010</x:v>
      </x:c>
      <x:c r="B14" s="95" t="str">
        <x:v>INS-017</x:v>
      </x:c>
      <x:c r="C14" s="95" t="str">
        <x:v>Sercotec</x:v>
      </x:c>
      <x:c r="D14" s="95" t="str">
        <x:v>Inicia tu Negocio Turismo Cisnes Litoral</x:v>
      </x:c>
      <x:c r="E14" s="95" t="str">
        <x:v>Cisnes litoral, Aysén</x:v>
      </x:c>
      <x:c r="F14" s="95" t="str">
        <x:v>Turismo</x:v>
      </x:c>
      <x:c r="G14" s="121" t="n">
        <x:v>46254</x:v>
      </x:c>
      <x:c r="H14" s="121" t="n">
        <x:v>46289</x:v>
      </x:c>
      <x:c r="I14" s="95" t="str">
        <x:v>Abierta</x:v>
      </x:c>
      <x:c r="J14" s="119" t="n">
        <x:v>5000000</x:v>
      </x:c>
      <x:c r="K14" s="120" t="n">
        <x:v>0.99</x:v>
      </x:c>
      <x:c r="L14" s="95" t="str">
        <x:v>1%</x:v>
      </x:c>
      <x:c r="M14" s="95" t="str">
        <x:v>Sin inicio primera categoría; territorio y turismo</x:v>
      </x:c>
      <x:c r="N14" s="95" t="str">
        <x:v>Revisar requisitos excluyentes</x:v>
      </x:c>
      <x:c r="O14" s="95" t="str">
        <x:v>https://www.sercotec.cl/convocatoria/2026-fndr-inicia-tu-negocio-en-turismo-comuna-cisnes-sector-litoral/</x:v>
      </x:c>
      <x:c r="P14" s="121" t="n">
        <x:v>46262</x:v>
      </x:c>
      <x:c r="Q14" s="125" t="n">
        <x:f>IF(OR(H14="",I14="Cerrada"),"",MAX(0,H14-DATE(2026,8,28)))</x:f>
        <x:v>27</x:v>
      </x:c>
    </x:row>
    <x:row r="15">
      <x:c r="A15" s="93" t="str">
        <x:v>CONV-011</x:v>
      </x:c>
      <x:c r="B15" s="95" t="str">
        <x:v>INS-017</x:v>
      </x:c>
      <x:c r="C15" s="95" t="str">
        <x:v>Sercotec</x:v>
      </x:c>
      <x:c r="D15" s="95" t="str">
        <x:v>Inicia tu Negocio Turismo Palena-Queulat</x:v>
      </x:c>
      <x:c r="E15" s="95" t="str">
        <x:v>Palena/Queulat</x:v>
      </x:c>
      <x:c r="F15" s="95" t="str">
        <x:v>Turismo</x:v>
      </x:c>
      <x:c r="G15" s="121" t="n">
        <x:v>46254</x:v>
      </x:c>
      <x:c r="H15" s="121" t="n">
        <x:v>46289</x:v>
      </x:c>
      <x:c r="I15" s="95" t="str">
        <x:v>Abierta</x:v>
      </x:c>
      <x:c r="J15" s="119" t="n">
        <x:v>5000000</x:v>
      </x:c>
      <x:c r="K15" s="120" t="n">
        <x:v>0.99</x:v>
      </x:c>
      <x:c r="L15" s="95" t="str">
        <x:v>1%</x:v>
      </x:c>
      <x:c r="M15" s="95" t="str">
        <x:v>Sin inicio primera categoría; territorio y turismo</x:v>
      </x:c>
      <x:c r="N15" s="95" t="str">
        <x:v>Revisar requisitos excluyentes</x:v>
      </x:c>
      <x:c r="O15" s="95" t="str">
        <x:v>https://widgetsercotec.sercotec.cl/Calendario</x:v>
      </x:c>
      <x:c r="P15" s="121" t="n">
        <x:v>46262</x:v>
      </x:c>
      <x:c r="Q15" s="125" t="n">
        <x:f>IF(OR(H15="",I15="Cerrada"),"",MAX(0,H15-DATE(2026,8,28)))</x:f>
        <x:v>27</x:v>
      </x:c>
    </x:row>
    <x:row r="16">
      <x:c r="A16" s="93" t="str">
        <x:v>CONV-012</x:v>
      </x:c>
      <x:c r="B16" s="95" t="str">
        <x:v>INS-005</x:v>
      </x:c>
      <x:c r="C16" s="95" t="str">
        <x:v>Sercotec</x:v>
      </x:c>
      <x:c r="D16" s="95" t="str">
        <x:v>Capital Semilla Emprende 2026</x:v>
      </x:c>
      <x:c r="E16" s="95" t="str">
        <x:v>Nacional</x:v>
      </x:c>
      <x:c r="F16" s="95" t="str">
        <x:v>Multisectorial</x:v>
      </x:c>
      <x:c r="G16" s="121"/>
      <x:c r="H16" s="121"/>
      <x:c r="I16" s="95" t="str">
        <x:v>Cerrada</x:v>
      </x:c>
      <x:c r="J16" s="119" t="n">
        <x:v>3500000</x:v>
      </x:c>
      <x:c r="K16" s="120" t="n">
        <x:v>0.97</x:v>
      </x:c>
      <x:c r="L16" s="95" t="str">
        <x:v>3%</x:v>
      </x:c>
      <x:c r="M16" s="95" t="str">
        <x:v>Sin inicio primera categoría</x:v>
      </x:c>
      <x:c r="N16" s="95" t="str">
        <x:v>Revisar requisitos excluyentes</x:v>
      </x:c>
      <x:c r="O16" s="95" t="str">
        <x:v>https://www.sercotec.cl/programas/capital-semilla-emprende/</x:v>
      </x:c>
      <x:c r="P16" s="121" t="n">
        <x:v>46262</x:v>
      </x:c>
      <x:c r="Q16" s="125" t="str">
        <x:f>IF(OR(H16="",I16="Cerrada"),"",MAX(0,H16-DATE(2026,8,28)))</x:f>
      </x:c>
    </x:row>
    <x:row r="17">
      <x:c r="A17" s="93" t="str">
        <x:v>CONV-013</x:v>
      </x:c>
      <x:c r="B17" s="95" t="str">
        <x:v>INS-006</x:v>
      </x:c>
      <x:c r="C17" s="95" t="str">
        <x:v>Sercotec</x:v>
      </x:c>
      <x:c r="D17" s="95" t="str">
        <x:v>Capital Abeja Emprende 2026</x:v>
      </x:c>
      <x:c r="E17" s="95" t="str">
        <x:v>Nacional</x:v>
      </x:c>
      <x:c r="F17" s="95" t="str">
        <x:v>Multisectorial</x:v>
      </x:c>
      <x:c r="G17" s="121"/>
      <x:c r="H17" s="121"/>
      <x:c r="I17" s="95" t="str">
        <x:v>Cerrada</x:v>
      </x:c>
      <x:c r="J17" s="119" t="n">
        <x:v>3500000</x:v>
      </x:c>
      <x:c r="K17" s="120" t="n">
        <x:v>0.97</x:v>
      </x:c>
      <x:c r="L17" s="95" t="str">
        <x:v>3%</x:v>
      </x:c>
      <x:c r="M17" s="95" t="str">
        <x:v>Mujer sin inicio primera categoría</x:v>
      </x:c>
      <x:c r="N17" s="95" t="str">
        <x:v>Revisar requisitos excluyentes</x:v>
      </x:c>
      <x:c r="O17" s="95" t="str">
        <x:v>https://www.sercotec.cl/programas/capital-abeja-emprende/</x:v>
      </x:c>
      <x:c r="P17" s="121" t="n">
        <x:v>46262</x:v>
      </x:c>
      <x:c r="Q17" s="125" t="str">
        <x:f>IF(OR(H17="",I17="Cerrada"),"",MAX(0,H17-DATE(2026,8,28)))</x:f>
      </x:c>
    </x:row>
    <x:row r="18">
      <x:c r="A18" s="93" t="str">
        <x:v>CONV-014</x:v>
      </x:c>
      <x:c r="B18" s="95" t="str">
        <x:v>INS-020</x:v>
      </x:c>
      <x:c r="C18" s="95" t="str">
        <x:v>Corfo</x:v>
      </x:c>
      <x:c r="D18" s="95" t="str">
        <x:v>Semilla Inicia Mujeres 2026</x:v>
      </x:c>
      <x:c r="E18" s="95" t="str">
        <x:v>Nacional</x:v>
      </x:c>
      <x:c r="F18" s="95" t="str">
        <x:v>Multisectorial</x:v>
      </x:c>
      <x:c r="G18" s="121" t="n">
        <x:v>46154</x:v>
      </x:c>
      <x:c r="H18" s="121" t="n">
        <x:v>46188</x:v>
      </x:c>
      <x:c r="I18" s="95" t="str">
        <x:v>Cerrada</x:v>
      </x:c>
      <x:c r="J18" s="119" t="n">
        <x:v>17000000</x:v>
      </x:c>
      <x:c r="K18" s="120" t="n">
        <x:v>0.85</x:v>
      </x:c>
      <x:c r="L18" s="95" t="str">
        <x:v>15%</x:v>
      </x:c>
      <x:c r="M18" s="95" t="str">
        <x:v>Liderazgo femenino; empresa joven; solución sin ventas</x:v>
      </x:c>
      <x:c r="N18" s="95" t="str">
        <x:v>Revisar requisitos excluyentes</x:v>
      </x:c>
      <x:c r="O18" s="95" t="str">
        <x:v>https://www.corfo.gob.cl/sites/cpp/convocatoria/semilla-inicia-empresas-lideradas-por-mujeres-2026/</x:v>
      </x:c>
      <x:c r="P18" s="121" t="n">
        <x:v>46262</x:v>
      </x:c>
      <x:c r="Q18" s="125" t="str">
        <x:f>IF(OR(H18="",I18="Cerrada"),"",MAX(0,H18-DATE(2026,8,28)))</x:f>
      </x:c>
    </x:row>
    <x:row r="19">
      <x:c r="A19" s="93" t="str">
        <x:v>CONV-015</x:v>
      </x:c>
      <x:c r="B19" s="95" t="str">
        <x:v>INS-019</x:v>
      </x:c>
      <x:c r="C19" s="95" t="str">
        <x:v>Corfo</x:v>
      </x:c>
      <x:c r="D19" s="95" t="str">
        <x:v>Semilla Inicia Los Lagos 2026</x:v>
      </x:c>
      <x:c r="E19" s="95" t="str">
        <x:v>Los Lagos</x:v>
      </x:c>
      <x:c r="F19" s="95" t="str">
        <x:v>Multisectorial</x:v>
      </x:c>
      <x:c r="G19" s="121" t="n">
        <x:v>46073</x:v>
      </x:c>
      <x:c r="H19" s="121" t="n">
        <x:v>46136</x:v>
      </x:c>
      <x:c r="I19" s="95" t="str">
        <x:v>Cerrada</x:v>
      </x:c>
      <x:c r="J19" s="119" t="n">
        <x:v>15000000</x:v>
      </x:c>
      <x:c r="K19" s="120" t="n">
        <x:v>0.75</x:v>
      </x:c>
      <x:c r="L19" s="95" t="str">
        <x:v>25%</x:v>
      </x:c>
      <x:c r="M19" s="95" t="str">
        <x:v>Innovación sostenible; empresa joven o persona natural</x:v>
      </x:c>
      <x:c r="N19" s="95" t="str">
        <x:v>Revisar requisitos excluyentes</x:v>
      </x:c>
      <x:c r="O19" s="95" t="str">
        <x:v>https://www.corfo.gob.cl/sites/cpp/convocatoria/semilla-inicia-los-lagos-2026/</x:v>
      </x:c>
      <x:c r="P19" s="121" t="n">
        <x:v>46262</x:v>
      </x:c>
      <x:c r="Q19" s="125" t="str">
        <x:f>IF(OR(H19="",I19="Cerrada"),"",MAX(0,H19-DATE(2026,8,28)))</x:f>
      </x:c>
    </x:row>
    <x:row r="20">
      <x:c r="A20" s="93" t="str">
        <x:v>CONV-016</x:v>
      </x:c>
      <x:c r="B20" s="95" t="str">
        <x:v>INS-021</x:v>
      </x:c>
      <x:c r="C20" s="95" t="str">
        <x:v>Corfo</x:v>
      </x:c>
      <x:c r="D20" s="95" t="str">
        <x:v>Semilla Expande Nacional 2026</x:v>
      </x:c>
      <x:c r="E20" s="95" t="str">
        <x:v>Nacional</x:v>
      </x:c>
      <x:c r="F20" s="95" t="str">
        <x:v>Multisectorial</x:v>
      </x:c>
      <x:c r="G20" s="121" t="n">
        <x:v>46037</x:v>
      </x:c>
      <x:c r="H20" s="121" t="n">
        <x:v>46077</x:v>
      </x:c>
      <x:c r="I20" s="95" t="str">
        <x:v>Cerrada</x:v>
      </x:c>
      <x:c r="J20" s="119" t="n">
        <x:v>28333334</x:v>
      </x:c>
      <x:c r="K20" s="120" t="n">
        <x:v>0.75</x:v>
      </x:c>
      <x:c r="L20" s="95" t="str">
        <x:v>25%</x:v>
      </x:c>
      <x:c r="M20" s="95" t="str">
        <x:v>Empresa joven con ventas iniciales</x:v>
      </x:c>
      <x:c r="N20" s="95" t="str">
        <x:v>Revisar requisitos excluyentes</x:v>
      </x:c>
      <x:c r="O20" s="95" t="str">
        <x:v>https://www.corfo.gob.cl/sites/cpp/programa/semilla-expande/</x:v>
      </x:c>
      <x:c r="P20" s="121" t="n">
        <x:v>46262</x:v>
      </x:c>
      <x:c r="Q20" s="125" t="str">
        <x:f>IF(OR(H20="",I20="Cerrada"),"",MAX(0,H20-DATE(2026,8,28)))</x:f>
      </x:c>
    </x:row>
    <x:row r="21">
      <x:c r="A21" s="93" t="str">
        <x:v>CONV-017</x:v>
      </x:c>
      <x:c r="B21" s="95" t="str">
        <x:v>INS-023</x:v>
      </x:c>
      <x:c r="C21" s="95" t="str">
        <x:v>Start-Up Chile / Corfo</x:v>
      </x:c>
      <x:c r="D21" s="95" t="str">
        <x:v>Start-Up Chile BIG 12</x:v>
      </x:c>
      <x:c r="E21" s="95" t="str">
        <x:v>Nacional</x:v>
      </x:c>
      <x:c r="F21" s="95" t="str">
        <x:v>Multisectorial</x:v>
      </x:c>
      <x:c r="G21" s="121" t="n">
        <x:v>46146</x:v>
      </x:c>
      <x:c r="H21" s="121" t="n">
        <x:v>46167</x:v>
      </x:c>
      <x:c r="I21" s="95" t="str">
        <x:v>Cerrada</x:v>
      </x:c>
      <x:c r="J21" s="119" t="n">
        <x:v>75000000</x:v>
      </x:c>
      <x:c r="K21" s="120"/>
      <x:c r="L21" s="95" t="str">
        <x:v>Según bases</x:v>
      </x:c>
      <x:c r="M21" s="95" t="str">
        <x:v>Elegir Build, Ignite o Growth</x:v>
      </x:c>
      <x:c r="N21" s="95" t="str">
        <x:v>Revisar requisitos excluyentes</x:v>
      </x:c>
      <x:c r="O21" s="95" t="str">
        <x:v>https://startupchile.org/</x:v>
      </x:c>
      <x:c r="P21" s="121" t="n">
        <x:v>46262</x:v>
      </x:c>
      <x:c r="Q21" s="125" t="str">
        <x:f>IF(OR(H21="",I21="Cerrada"),"",MAX(0,H21-DATE(2026,8,28)))</x:f>
      </x:c>
    </x:row>
    <x:row r="22">
      <x:c r="A22" s="93" t="str">
        <x:v>CONV-018</x:v>
      </x:c>
      <x:c r="B22" s="95" t="str">
        <x:v>INS-043</x:v>
      </x:c>
      <x:c r="C22" s="95" t="str">
        <x:v>FIA</x:v>
      </x:c>
      <x:c r="D22" s="95" t="str">
        <x:v>Innovación Línea 1 2026</x:v>
      </x:c>
      <x:c r="E22" s="95" t="str">
        <x:v>Nacional</x:v>
      </x:c>
      <x:c r="F22" s="95" t="str">
        <x:v>Agro</x:v>
      </x:c>
      <x:c r="G22" s="121" t="n">
        <x:v>46168</x:v>
      </x:c>
      <x:c r="H22" s="121" t="n">
        <x:v>46198</x:v>
      </x:c>
      <x:c r="I22" s="95" t="str">
        <x:v>Cerrada</x:v>
      </x:c>
      <x:c r="J22" s="119" t="n">
        <x:v>50000000</x:v>
      </x:c>
      <x:c r="K22" s="120" t="n">
        <x:v>0.8</x:v>
      </x:c>
      <x:c r="L22" s="95" t="str">
        <x:v>20%</x:v>
      </x:c>
      <x:c r="M22" s="95" t="str">
        <x:v>TRL 3–5</x:v>
      </x:c>
      <x:c r="N22" s="95" t="str">
        <x:v>Revisar requisitos excluyentes</x:v>
      </x:c>
      <x:c r="O22" s="95" t="str">
        <x:v>https://www.fia.cl/convocatorias/</x:v>
      </x:c>
      <x:c r="P22" s="121" t="n">
        <x:v>46262</x:v>
      </x:c>
      <x:c r="Q22" s="125" t="str">
        <x:f>IF(OR(H22="",I22="Cerrada"),"",MAX(0,H22-DATE(2026,8,28)))</x:f>
      </x:c>
    </x:row>
    <x:row r="23">
      <x:c r="A23" s="93" t="str">
        <x:v>CONV-019</x:v>
      </x:c>
      <x:c r="B23" s="95" t="str">
        <x:v>INS-044</x:v>
      </x:c>
      <x:c r="C23" s="95" t="str">
        <x:v>FIA</x:v>
      </x:c>
      <x:c r="D23" s="95" t="str">
        <x:v>Innovación Línea 2 2026</x:v>
      </x:c>
      <x:c r="E23" s="95" t="str">
        <x:v>Nacional</x:v>
      </x:c>
      <x:c r="F23" s="95" t="str">
        <x:v>Agro</x:v>
      </x:c>
      <x:c r="G23" s="121" t="n">
        <x:v>46198</x:v>
      </x:c>
      <x:c r="H23" s="121" t="n">
        <x:v>46232</x:v>
      </x:c>
      <x:c r="I23" s="95" t="str">
        <x:v>Cerrada</x:v>
      </x:c>
      <x:c r="J23" s="119" t="n">
        <x:v>50000000</x:v>
      </x:c>
      <x:c r="K23" s="120" t="n">
        <x:v>0.8</x:v>
      </x:c>
      <x:c r="L23" s="95" t="str">
        <x:v>20%</x:v>
      </x:c>
      <x:c r="M23" s="95" t="str">
        <x:v>TRL 5–7</x:v>
      </x:c>
      <x:c r="N23" s="95" t="str">
        <x:v>Revisar requisitos excluyentes</x:v>
      </x:c>
      <x:c r="O23" s="95" t="str">
        <x:v>https://www.fia.cl/convocatorias/</x:v>
      </x:c>
      <x:c r="P23" s="121" t="n">
        <x:v>46262</x:v>
      </x:c>
      <x:c r="Q23" s="125" t="str">
        <x:f>IF(OR(H23="",I23="Cerrada"),"",MAX(0,H23-DATE(2026,8,28)))</x:f>
      </x:c>
    </x:row>
    <x:row r="24">
      <x:c r="A24" s="93" t="str">
        <x:v>CONV-020</x:v>
      </x:c>
      <x:c r="B24" s="95" t="str">
        <x:v>INS-045</x:v>
      </x:c>
      <x:c r="C24" s="95" t="str">
        <x:v>FIA</x:v>
      </x:c>
      <x:c r="D24" s="95" t="str">
        <x:v>Innovación Línea 3 2026</x:v>
      </x:c>
      <x:c r="E24" s="95" t="str">
        <x:v>Nacional</x:v>
      </x:c>
      <x:c r="F24" s="95" t="str">
        <x:v>Agro</x:v>
      </x:c>
      <x:c r="G24" s="121" t="n">
        <x:v>46231</x:v>
      </x:c>
      <x:c r="H24" s="121" t="n">
        <x:v>46273</x:v>
      </x:c>
      <x:c r="I24" s="95" t="str">
        <x:v>Abierta</x:v>
      </x:c>
      <x:c r="J24" s="119" t="n">
        <x:v>50000000</x:v>
      </x:c>
      <x:c r="K24" s="120" t="n">
        <x:v>0.8</x:v>
      </x:c>
      <x:c r="L24" s="95" t="str">
        <x:v>20%</x:v>
      </x:c>
      <x:c r="M24" s="95" t="str">
        <x:v>TRL 7–8</x:v>
      </x:c>
      <x:c r="N24" s="95" t="str">
        <x:v>Revisar requisitos excluyentes</x:v>
      </x:c>
      <x:c r="O24" s="95" t="str">
        <x:v>https://www.fia.cl/convocatorias/</x:v>
      </x:c>
      <x:c r="P24" s="121" t="n">
        <x:v>46262</x:v>
      </x:c>
      <x:c r="Q24" s="125" t="n">
        <x:f>IF(OR(H24="",I24="Cerrada"),"",MAX(0,H24-DATE(2026,8,28)))</x:f>
        <x:v>11</x:v>
      </x:c>
    </x:row>
    <x:row r="25">
      <x:c r="A25" s="93" t="str">
        <x:v>CONV-021</x:v>
      </x:c>
      <x:c r="B25" s="95" t="str">
        <x:v>INS-046</x:v>
      </x:c>
      <x:c r="C25" s="95" t="str">
        <x:v>FIA</x:v>
      </x:c>
      <x:c r="D25" s="95" t="str">
        <x:v>Desafíos Públicos para el Agro 2026</x:v>
      </x:c>
      <x:c r="E25" s="95" t="str">
        <x:v>Nacional</x:v>
      </x:c>
      <x:c r="F25" s="95" t="str">
        <x:v>Agro</x:v>
      </x:c>
      <x:c r="G25" s="121" t="n">
        <x:v>46266</x:v>
      </x:c>
      <x:c r="H25" s="121" t="n">
        <x:v>46296</x:v>
      </x:c>
      <x:c r="I25" s="95" t="str">
        <x:v>Próxima</x:v>
      </x:c>
      <x:c r="J25" s="119"/>
      <x:c r="K25" s="120"/>
      <x:c r="L25" s="95" t="str">
        <x:v>Según bases</x:v>
      </x:c>
      <x:c r="M25" s="95" t="str">
        <x:v>Desafíos y bases por publicar</x:v>
      </x:c>
      <x:c r="N25" s="95" t="str">
        <x:v>Revisar requisitos excluyentes</x:v>
      </x:c>
      <x:c r="O25" s="95" t="str">
        <x:v>https://www.fia.cl/convocatorias/</x:v>
      </x:c>
      <x:c r="P25" s="121" t="n">
        <x:v>46262</x:v>
      </x:c>
      <x:c r="Q25" s="125" t="n">
        <x:f>IF(OR(H25="",I25="Cerrada"),"",MAX(0,H25-DATE(2026,8,28)))</x:f>
        <x:v>34</x:v>
      </x:c>
    </x:row>
    <x:row r="26">
      <x:c r="A26" s="93" t="str">
        <x:v>CONV-022</x:v>
      </x:c>
      <x:c r="B26" s="95" t="str">
        <x:v>INS-052</x:v>
      </x:c>
      <x:c r="C26" s="95" t="str">
        <x:v>INDESPA</x:v>
      </x:c>
      <x:c r="D26" s="95" t="str">
        <x:v>Mercados del Mar Food &amp; Service 2026</x:v>
      </x:c>
      <x:c r="E26" s="95" t="str">
        <x:v>Nacional</x:v>
      </x:c>
      <x:c r="F26" s="95" t="str">
        <x:v>Pesca y acuicultura</x:v>
      </x:c>
      <x:c r="G26" s="121" t="n">
        <x:v>46247</x:v>
      </x:c>
      <x:c r="H26" s="121" t="n">
        <x:v>46261</x:v>
      </x:c>
      <x:c r="I26" s="95" t="str">
        <x:v>Cerrada</x:v>
      </x:c>
      <x:c r="J26" s="119"/>
      <x:c r="K26" s="120"/>
      <x:c r="L26" s="95" t="str">
        <x:v>Según bases</x:v>
      </x:c>
      <x:c r="M26" s="95" t="str">
        <x:v>Inicio SII, resolución sanitaria y registro sectorial</x:v>
      </x:c>
      <x:c r="N26" s="95" t="str">
        <x:v>Revisar requisitos excluyentes</x:v>
      </x:c>
      <x:c r="O26" s="95" t="str">
        <x:v>https://www.indespa.cl/concursos/mercados-del-mar-feria-food-service-2026-0/</x:v>
      </x:c>
      <x:c r="P26" s="121" t="n">
        <x:v>46262</x:v>
      </x:c>
      <x:c r="Q26" s="125" t="str">
        <x:f>IF(OR(H26="",I26="Cerrada"),"",MAX(0,H26-DATE(2026,8,28)))</x:f>
      </x:c>
    </x:row>
    <x:row r="27">
      <x:c r="A27" s="93" t="str">
        <x:v>CONV-023</x:v>
      </x:c>
      <x:c r="B27" s="95" t="str">
        <x:v>INS-051</x:v>
      </x:c>
      <x:c r="C27" s="95" t="str">
        <x:v>INDESPA</x:v>
      </x:c>
      <x:c r="D27" s="95" t="str">
        <x:v>Reactivación por temporales 2026</x:v>
      </x:c>
      <x:c r="E27" s="95" t="str">
        <x:v>Territorios afectados según bases</x:v>
      </x:c>
      <x:c r="F27" s="95" t="str">
        <x:v>Pesca y acuicultura</x:v>
      </x:c>
      <x:c r="G27" s="121"/>
      <x:c r="H27" s="121" t="n">
        <x:v>46281</x:v>
      </x:c>
      <x:c r="I27" s="95" t="str">
        <x:v>Abierta</x:v>
      </x:c>
      <x:c r="J27" s="119"/>
      <x:c r="K27" s="120"/>
      <x:c r="L27" s="95" t="str">
        <x:v>Según bases</x:v>
      </x:c>
      <x:c r="M27" s="95" t="str">
        <x:v>Afectación y pertenencia al sector</x:v>
      </x:c>
      <x:c r="N27" s="95" t="str">
        <x:v>Revisar requisitos excluyentes</x:v>
      </x:c>
      <x:c r="O27" s="95" t="str">
        <x:v>https://www.indespa.cl/</x:v>
      </x:c>
      <x:c r="P27" s="121" t="n">
        <x:v>46262</x:v>
      </x:c>
      <x:c r="Q27" s="125" t="n">
        <x:f>IF(OR(H27="",I27="Cerrada"),"",MAX(0,H27-DATE(2026,8,28)))</x:f>
        <x:v>19</x:v>
      </x:c>
    </x:row>
    <x:row r="28">
      <x:c r="A28" s="93" t="str">
        <x:v>CONV-024</x:v>
      </x:c>
      <x:c r="B28" s="95" t="str">
        <x:v>INS-060</x:v>
      </x:c>
      <x:c r="C28" s="95" t="str">
        <x:v>Comisión Nacional de Riego (CNR)</x:v>
      </x:c>
      <x:c r="D28" s="95" t="str">
        <x:v>Concurso 204-2026 Pequeña Agricultura</x:v>
      </x:c>
      <x:c r="E28" s="95" t="str">
        <x:v>Nacional; incluye zona sur</x:v>
      </x:c>
      <x:c r="F28" s="95" t="str">
        <x:v>Agricultura</x:v>
      </x:c>
      <x:c r="G28" s="121" t="n">
        <x:v>46280</x:v>
      </x:c>
      <x:c r="H28" s="121" t="n">
        <x:v>46310</x:v>
      </x:c>
      <x:c r="I28" s="95" t="str">
        <x:v>Próxima</x:v>
      </x:c>
      <x:c r="J28" s="119"/>
      <x:c r="K28" s="120"/>
      <x:c r="L28" s="95" t="str">
        <x:v>Según bases</x:v>
      </x:c>
      <x:c r="M28" s="95" t="str">
        <x:v>Proyecto no seleccionado/pequeña agricultura según bases</x:v>
      </x:c>
      <x:c r="N28" s="95" t="str">
        <x:v>Revisar requisitos excluyentes</x:v>
      </x:c>
      <x:c r="O28" s="95" t="str">
        <x:v>https://www.cnr.gob.cl/agricultores/calendario-de-concurso/</x:v>
      </x:c>
      <x:c r="P28" s="121" t="n">
        <x:v>46262</x:v>
      </x:c>
      <x:c r="Q28" s="125" t="n">
        <x:f>IF(OR(H28="",I28="Cerrada"),"",MAX(0,H28-DATE(2026,8,28)))</x:f>
        <x:v>48</x:v>
      </x:c>
    </x:row>
    <x:row r="29">
      <x:c r="A29" s="93" t="str">
        <x:v>CONV-025</x:v>
      </x:c>
      <x:c r="B29" s="95" t="str">
        <x:v>INS-061</x:v>
      </x:c>
      <x:c r="C29" s="95" t="str">
        <x:v>Comisión Nacional de Riego (CNR)</x:v>
      </x:c>
      <x:c r="D29" s="95" t="str">
        <x:v>Concurso 206-2026 Pequeña Agricultura Mujeres</x:v>
      </x:c>
      <x:c r="E29" s="95" t="str">
        <x:v>Nacional y regiones seleccionadas</x:v>
      </x:c>
      <x:c r="F29" s="95" t="str">
        <x:v>Agricultura</x:v>
      </x:c>
      <x:c r="G29" s="121" t="n">
        <x:v>46344</x:v>
      </x:c>
      <x:c r="H29" s="121" t="n">
        <x:v>46378</x:v>
      </x:c>
      <x:c r="I29" s="95" t="str">
        <x:v>Próxima</x:v>
      </x:c>
      <x:c r="J29" s="119"/>
      <x:c r="K29" s="120"/>
      <x:c r="L29" s="95" t="str">
        <x:v>Según bases</x:v>
      </x:c>
      <x:c r="M29" s="95" t="str">
        <x:v>Mujer de pequeña agricultura y proyecto técnico</x:v>
      </x:c>
      <x:c r="N29" s="95" t="str">
        <x:v>Revisar requisitos excluyentes</x:v>
      </x:c>
      <x:c r="O29" s="95" t="str">
        <x:v>https://www.cnr.gob.cl/agricultores/calendario-de-concurso/</x:v>
      </x:c>
      <x:c r="P29" s="121" t="n">
        <x:v>46262</x:v>
      </x:c>
      <x:c r="Q29" s="125" t="n">
        <x:f>IF(OR(H29="",I29="Cerrada"),"",MAX(0,H29-DATE(2026,8,28)))</x:f>
        <x:v>116</x:v>
      </x:c>
    </x:row>
    <x:row r="30">
      <x:c r="A30" s="93" t="str">
        <x:v>CONV-026</x:v>
      </x:c>
      <x:c r="B30" s="95" t="str">
        <x:v>INS-062</x:v>
      </x:c>
      <x:c r="C30" s="95" t="str">
        <x:v>CONAF</x:v>
      </x:c>
      <x:c r="D30" s="95" t="str">
        <x:v>Fondo Bosque Nativo 2026</x:v>
      </x:c>
      <x:c r="E30" s="95" t="str">
        <x:v>Nacional</x:v>
      </x:c>
      <x:c r="F30" s="95" t="str">
        <x:v>Forestal</x:v>
      </x:c>
      <x:c r="G30" s="121" t="n">
        <x:v>46112</x:v>
      </x:c>
      <x:c r="H30" s="121" t="n">
        <x:v>46234</x:v>
      </x:c>
      <x:c r="I30" s="95" t="str">
        <x:v>Cerrada</x:v>
      </x:c>
      <x:c r="J30" s="119"/>
      <x:c r="K30" s="120"/>
      <x:c r="L30" s="95" t="str">
        <x:v>Según bases</x:v>
      </x:c>
      <x:c r="M30" s="95" t="str">
        <x:v>Propiedad de predio con bosque nativo y plan de manejo</x:v>
      </x:c>
      <x:c r="N30" s="95" t="str">
        <x:v>Revisar requisitos excluyentes</x:v>
      </x:c>
      <x:c r="O30" s="95" t="str">
        <x:v>https://concursolbn.conaf.cl/</x:v>
      </x:c>
      <x:c r="P30" s="121" t="n">
        <x:v>46262</x:v>
      </x:c>
      <x:c r="Q30" s="125" t="str">
        <x:f>IF(OR(H30="",I30="Cerrada"),"",MAX(0,H30-DATE(2026,8,28)))</x:f>
      </x:c>
    </x:row>
    <x:row r="31">
      <x:c r="A31" s="93" t="str">
        <x:v>CONV-027</x:v>
      </x:c>
      <x:c r="B31" s="95" t="str">
        <x:v>INS-063</x:v>
      </x:c>
      <x:c r="C31" s="95" t="str">
        <x:v>Fundación Luksic</x:v>
      </x:c>
      <x:c r="D31" s="95" t="str">
        <x:v>Impulso Chileno 2026</x:v>
      </x:c>
      <x:c r="E31" s="95" t="str">
        <x:v>Nacional</x:v>
      </x:c>
      <x:c r="F31" s="95" t="str">
        <x:v>Multisectorial</x:v>
      </x:c>
      <x:c r="G31" s="121" t="n">
        <x:v>46266</x:v>
      </x:c>
      <x:c r="H31" s="121" t="n">
        <x:v>46280</x:v>
      </x:c>
      <x:c r="I31" s="95" t="str">
        <x:v>Próxima</x:v>
      </x:c>
      <x:c r="J31" s="119" t="n">
        <x:v>5000000</x:v>
      </x:c>
      <x:c r="K31" s="120"/>
      <x:c r="L31" s="95" t="str">
        <x:v>Según bases</x:v>
      </x:c>
      <x:c r="M31" s="95" t="str">
        <x:v>Formal antes de 01-03-2026; ventas 150–5.000 UF; La Brújula</x:v>
      </x:c>
      <x:c r="N31" s="95" t="str">
        <x:v>Revisar requisitos excluyentes</x:v>
      </x:c>
      <x:c r="O31" s="95" t="str">
        <x:v>https://fundacionluksic.cl/noticias/proximas-convocatorias/</x:v>
      </x:c>
      <x:c r="P31" s="121" t="n">
        <x:v>46262</x:v>
      </x:c>
      <x:c r="Q31" s="125" t="n">
        <x:f>IF(OR(H31="",I31="Cerrada"),"",MAX(0,H31-DATE(2026,8,28)))</x:f>
        <x:v>18</x:v>
      </x:c>
    </x:row>
    <x:row r="32">
      <x:c r="A32" s="93" t="str">
        <x:v>CONV-028</x:v>
      </x:c>
      <x:c r="B32" s="95" t="str">
        <x:v>INS-065</x:v>
      </x:c>
      <x:c r="C32" s="95" t="str">
        <x:v>G100 / Nada Nos Detiene</x:v>
      </x:c>
      <x:c r="D32" s="95" t="str">
        <x:v>Nada Nos Detiene La Araucana 2026</x:v>
      </x:c>
      <x:c r="E32" s="95" t="str">
        <x:v>Nacional</x:v>
      </x:c>
      <x:c r="F32" s="95" t="str">
        <x:v>Multisectorial</x:v>
      </x:c>
      <x:c r="G32" s="121" t="n">
        <x:v>46251</x:v>
      </x:c>
      <x:c r="H32" s="121" t="n">
        <x:v>46282</x:v>
      </x:c>
      <x:c r="I32" s="95" t="str">
        <x:v>Abierta</x:v>
      </x:c>
      <x:c r="J32" s="119" t="n">
        <x:v>10000000</x:v>
      </x:c>
      <x:c r="K32" s="120"/>
      <x:c r="L32" s="95" t="str">
        <x:v>Según bases</x:v>
      </x:c>
      <x:c r="M32" s="95" t="str">
        <x:v>Afiliación La Araucana; categoría salud, educación o empleo</x:v>
      </x:c>
      <x:c r="N32" s="95" t="str">
        <x:v>Revisar requisitos excluyentes</x:v>
      </x:c>
      <x:c r="O32" s="95" t="str">
        <x:v>https://participa.nadanosdetiene.cl/laaraucana</x:v>
      </x:c>
      <x:c r="P32" s="121" t="n">
        <x:v>46262</x:v>
      </x:c>
      <x:c r="Q32" s="125" t="n">
        <x:f>IF(OR(H32="",I32="Cerrada"),"",MAX(0,H32-DATE(2026,8,28)))</x:f>
        <x:v>20</x:v>
      </x:c>
    </x:row>
    <x:row r="33">
      <x:c r="A33" s="93" t="str">
        <x:v>CONV-029</x:v>
      </x:c>
      <x:c r="B33" s="95" t="str">
        <x:v>INS-053</x:v>
      </x:c>
      <x:c r="C33" s="95" t="str">
        <x:v>Ministerio de las Culturas</x:v>
      </x:c>
      <x:c r="D33" s="95" t="str">
        <x:v>Fondart Regional 2027</x:v>
      </x:c>
      <x:c r="E33" s="95" t="str">
        <x:v>Nacional</x:v>
      </x:c>
      <x:c r="F33" s="95" t="str">
        <x:v>Cultura</x:v>
      </x:c>
      <x:c r="G33" s="121"/>
      <x:c r="H33" s="121"/>
      <x:c r="I33" s="95" t="str">
        <x:v>Abierta</x:v>
      </x:c>
      <x:c r="J33" s="119"/>
      <x:c r="K33" s="120"/>
      <x:c r="L33" s="95" t="str">
        <x:v>Según bases</x:v>
      </x:c>
      <x:c r="M33" s="95" t="str">
        <x:v>Línea y región compatible</x:v>
      </x:c>
      <x:c r="N33" s="95" t="str">
        <x:v>Revisar requisitos excluyentes</x:v>
      </x:c>
      <x:c r="O33" s="95" t="str">
        <x:v>https://www.fondosdecultura.cl/</x:v>
      </x:c>
      <x:c r="P33" s="121" t="n">
        <x:v>46262</x:v>
      </x:c>
      <x:c r="Q33" s="125" t="str">
        <x:f>IF(OR(H33="",I33="Cerrada"),"",MAX(0,H33-DATE(2026,8,28)))</x:f>
      </x:c>
    </x:row>
    <x:row r="34">
      <x:c r="A34" s="93" t="str">
        <x:v>CONV-030</x:v>
      </x:c>
      <x:c r="B34" s="95" t="str">
        <x:v>INS-054</x:v>
      </x:c>
      <x:c r="C34" s="95" t="str">
        <x:v>Ministerio de las Culturas</x:v>
      </x:c>
      <x:c r="D34" s="95" t="str">
        <x:v>Fondart Nacional 2027</x:v>
      </x:c>
      <x:c r="E34" s="95" t="str">
        <x:v>Nacional</x:v>
      </x:c>
      <x:c r="F34" s="95" t="str">
        <x:v>Cultura</x:v>
      </x:c>
      <x:c r="G34" s="121"/>
      <x:c r="H34" s="121"/>
      <x:c r="I34" s="95" t="str">
        <x:v>Abierta</x:v>
      </x:c>
      <x:c r="J34" s="119"/>
      <x:c r="K34" s="120"/>
      <x:c r="L34" s="95" t="str">
        <x:v>Según bases</x:v>
      </x:c>
      <x:c r="M34" s="95" t="str">
        <x:v>Línea nacional compatible</x:v>
      </x:c>
      <x:c r="N34" s="95" t="str">
        <x:v>Revisar requisitos excluyentes</x:v>
      </x:c>
      <x:c r="O34" s="95" t="str">
        <x:v>https://www.fondosdecultura.cl/</x:v>
      </x:c>
      <x:c r="P34" s="121" t="n">
        <x:v>46262</x:v>
      </x:c>
      <x:c r="Q34" s="125" t="str">
        <x:f>IF(OR(H34="",I34="Cerrada"),"",MAX(0,H34-DATE(2026,8,28)))</x:f>
      </x:c>
    </x:row>
    <x:row r="35">
      <x:c r="A35" s="93" t="str">
        <x:v>CONV-031</x:v>
      </x:c>
      <x:c r="B35" s="95" t="str">
        <x:v>INS-055</x:v>
      </x:c>
      <x:c r="C35" s="95" t="str">
        <x:v>Ministerio de las Culturas</x:v>
      </x:c>
      <x:c r="D35" s="95" t="str">
        <x:v>Fondo Audiovisual 2027</x:v>
      </x:c>
      <x:c r="E35" s="95" t="str">
        <x:v>Nacional</x:v>
      </x:c>
      <x:c r="F35" s="95" t="str">
        <x:v>Audiovisual</x:v>
      </x:c>
      <x:c r="G35" s="121"/>
      <x:c r="H35" s="121" t="n">
        <x:v>46269</x:v>
      </x:c>
      <x:c r="I35" s="95" t="str">
        <x:v>Abierta</x:v>
      </x:c>
      <x:c r="J35" s="119"/>
      <x:c r="K35" s="120"/>
      <x:c r="L35" s="95" t="str">
        <x:v>Según bases</x:v>
      </x:c>
      <x:c r="M35" s="95" t="str">
        <x:v>Línea audiovisual compatible</x:v>
      </x:c>
      <x:c r="N35" s="95" t="str">
        <x:v>Revisar requisitos excluyentes</x:v>
      </x:c>
      <x:c r="O35" s="95" t="str">
        <x:v>https://www.fondosdecultura.cl/</x:v>
      </x:c>
      <x:c r="P35" s="121" t="n">
        <x:v>46262</x:v>
      </x:c>
      <x:c r="Q35" s="125" t="n">
        <x:f>IF(OR(H35="",I35="Cerrada"),"",MAX(0,H35-DATE(2026,8,28)))</x:f>
        <x:v>7</x:v>
      </x:c>
    </x:row>
    <x:row r="36">
      <x:c r="A36" s="93" t="str">
        <x:v>CONV-032</x:v>
      </x:c>
      <x:c r="B36" s="95" t="str">
        <x:v>INS-056</x:v>
      </x:c>
      <x:c r="C36" s="95" t="str">
        <x:v>Ministerio de las Culturas</x:v>
      </x:c>
      <x:c r="D36" s="95" t="str">
        <x:v>Fondo de la Música 2027</x:v>
      </x:c>
      <x:c r="E36" s="95" t="str">
        <x:v>Nacional</x:v>
      </x:c>
      <x:c r="F36" s="95" t="str">
        <x:v>Música</x:v>
      </x:c>
      <x:c r="G36" s="121"/>
      <x:c r="H36" s="121"/>
      <x:c r="I36" s="95" t="str">
        <x:v>Abierta</x:v>
      </x:c>
      <x:c r="J36" s="119"/>
      <x:c r="K36" s="120"/>
      <x:c r="L36" s="95" t="str">
        <x:v>Según bases</x:v>
      </x:c>
      <x:c r="M36" s="95" t="str">
        <x:v>Línea musical compatible</x:v>
      </x:c>
      <x:c r="N36" s="95" t="str">
        <x:v>Revisar requisitos excluyentes</x:v>
      </x:c>
      <x:c r="O36" s="95" t="str">
        <x:v>https://www.fondosdecultura.cl/</x:v>
      </x:c>
      <x:c r="P36" s="121" t="n">
        <x:v>46262</x:v>
      </x:c>
      <x:c r="Q36" s="125" t="str">
        <x:f>IF(OR(H36="",I36="Cerrada"),"",MAX(0,H36-DATE(2026,8,28)))</x:f>
      </x:c>
    </x:row>
    <x:row r="37">
      <x:c r="A37" s="93" t="str">
        <x:v>CONV-033</x:v>
      </x:c>
      <x:c r="B37" s="95" t="str">
        <x:v>INS-057</x:v>
      </x:c>
      <x:c r="C37" s="95" t="str">
        <x:v>Ministerio de las Culturas</x:v>
      </x:c>
      <x:c r="D37" s="95" t="str">
        <x:v>Fondo del Libro 2027</x:v>
      </x:c>
      <x:c r="E37" s="95" t="str">
        <x:v>Nacional</x:v>
      </x:c>
      <x:c r="F37" s="95" t="str">
        <x:v>Libro y lectura</x:v>
      </x:c>
      <x:c r="G37" s="121"/>
      <x:c r="H37" s="121" t="n">
        <x:v>46267</x:v>
      </x:c>
      <x:c r="I37" s="95" t="str">
        <x:v>Abierta</x:v>
      </x:c>
      <x:c r="J37" s="119"/>
      <x:c r="K37" s="120"/>
      <x:c r="L37" s="95" t="str">
        <x:v>Según bases</x:v>
      </x:c>
      <x:c r="M37" s="95" t="str">
        <x:v>Línea editorial o lectura compatible</x:v>
      </x:c>
      <x:c r="N37" s="95" t="str">
        <x:v>Revisar requisitos excluyentes</x:v>
      </x:c>
      <x:c r="O37" s="95" t="str">
        <x:v>https://www.fondosdecultura.cl/</x:v>
      </x:c>
      <x:c r="P37" s="121" t="n">
        <x:v>46262</x:v>
      </x:c>
      <x:c r="Q37" s="125" t="n">
        <x:f>IF(OR(H37="",I37="Cerrada"),"",MAX(0,H37-DATE(2026,8,28)))</x:f>
        <x:v>5</x:v>
      </x:c>
    </x:row>
    <x:row r="38">
      <x:c r="A38" s="93" t="str">
        <x:v>CONV-034</x:v>
      </x:c>
      <x:c r="B38" s="95" t="str">
        <x:v>INS-058</x:v>
      </x:c>
      <x:c r="C38" s="95" t="str">
        <x:v>Ministerio de las Culturas</x:v>
      </x:c>
      <x:c r="D38" s="95" t="str">
        <x:v>Fondo de Artes Escénicas 2027</x:v>
      </x:c>
      <x:c r="E38" s="95" t="str">
        <x:v>Nacional</x:v>
      </x:c>
      <x:c r="F38" s="95" t="str">
        <x:v>Artes escénicas</x:v>
      </x:c>
      <x:c r="G38" s="121"/>
      <x:c r="H38" s="121" t="n">
        <x:v>46268</x:v>
      </x:c>
      <x:c r="I38" s="95" t="str">
        <x:v>Abierta</x:v>
      </x:c>
      <x:c r="J38" s="119"/>
      <x:c r="K38" s="120"/>
      <x:c r="L38" s="95" t="str">
        <x:v>Según bases</x:v>
      </x:c>
      <x:c r="M38" s="95" t="str">
        <x:v>Línea escénica compatible</x:v>
      </x:c>
      <x:c r="N38" s="95" t="str">
        <x:v>Revisar requisitos excluyentes</x:v>
      </x:c>
      <x:c r="O38" s="95" t="str">
        <x:v>https://www.fondosdecultura.cl/</x:v>
      </x:c>
      <x:c r="P38" s="121" t="n">
        <x:v>46262</x:v>
      </x:c>
      <x:c r="Q38" s="125" t="n">
        <x:f>IF(OR(H38="",I38="Cerrada"),"",MAX(0,H38-DATE(2026,8,28)))</x:f>
        <x:v>6</x:v>
      </x:c>
    </x:row>
    <x:row r="39">
      <x:c r="A39" s="100" t="str">
        <x:v>CONV-035</x:v>
      </x:c>
      <x:c r="B39" s="102" t="str">
        <x:v>INS-059</x:v>
      </x:c>
      <x:c r="C39" s="102" t="str">
        <x:v>Ministerio de las Culturas</x:v>
      </x:c>
      <x:c r="D39" s="102" t="str">
        <x:v>Becas Chile Crea 2027</x:v>
      </x:c>
      <x:c r="E39" s="102" t="str">
        <x:v>Nacional</x:v>
      </x:c>
      <x:c r="F39" s="102" t="str">
        <x:v>Cultura</x:v>
      </x:c>
      <x:c r="G39" s="101"/>
      <x:c r="H39" s="101" t="n">
        <x:v>46265</x:v>
      </x:c>
      <x:c r="I39" s="102" t="str">
        <x:v>Abierta</x:v>
      </x:c>
      <x:c r="J39" s="122"/>
      <x:c r="K39" s="123"/>
      <x:c r="L39" s="102" t="str">
        <x:v>Según bases</x:v>
      </x:c>
      <x:c r="M39" s="102" t="str">
        <x:v>Formación y perfil elegible</x:v>
      </x:c>
      <x:c r="N39" s="102" t="str">
        <x:v>Revisar requisitos excluyentes</x:v>
      </x:c>
      <x:c r="O39" s="102" t="str">
        <x:v>https://www.fondosdecultura.cl/</x:v>
      </x:c>
      <x:c r="P39" s="101" t="n">
        <x:v>46262</x:v>
      </x:c>
      <x:c r="Q39" s="126" t="n">
        <x:f>IF(OR(H39="",I39="Cerrada"),"",MAX(0,H39-DATE(2026,8,28)))</x:f>
        <x:v>3</x:v>
      </x:c>
    </x:row>
  </x:sheetData>
  <x:mergeCells>
    <x:mergeCell ref="A1:Q1"/>
    <x:mergeCell ref="A2:Q2"/>
  </x:mergeCells>
  <x:conditionalFormatting sqref="I5:I39">
    <x:cfRule type="expression" dxfId="2" priority="1">
      <x:formula>I5="Abierta"</x:formula>
    </x:cfRule>
    <x:cfRule type="expression" dxfId="3" priority="2">
      <x:formula>I5="Próxima"</x:formula>
    </x:cfRule>
    <x:cfRule type="expression" dxfId="4" priority="3">
      <x:formula>I5="Cerrada"</x:formula>
    </x:cfRule>
  </x:conditionalFormatting>
  <x:dataValidations count="1">
    <x:dataValidation type="list" sqref="I5:I39">
      <x:formula1>"Abierta,Próxima,Cerrada,Por verificar,Vigencia regional"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fef39dadf46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0" hidden="0" customWidth="1"/>
    <x:col min="4" max="4" width="38" hidden="0" customWidth="1"/>
    <x:col min="5" max="5" width="38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34" customHeight="1">
      <x:c r="A1" s="81" t="str">
        <x:v>Campos necesarios para compatibilidad</x:v>
      </x:c>
      <x:c r="B1" s="81"/>
      <x:c r="C1" s="81"/>
      <x:c r="D1" s="81"/>
      <x:c r="E1" s="81"/>
      <x:c r="F1" s="81"/>
      <x:c r="G1" s="81"/>
      <x:c r="H1" s="81"/>
    </x:row>
    <x:row r="2" ht="32" customHeight="1">
      <x:c r="A2" s="82" t="str">
        <x:v>Diccionario preliminar derivado del catálogo; no constituye todavía el flujo ni las instrucciones de desarrollo.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8" customHeight="1">
      <x:c r="A4" s="84" t="str">
        <x:v>Campo</x:v>
      </x:c>
      <x:c r="B4" s="84" t="str">
        <x:v>Pregunta en lenguaje simple</x:v>
      </x:c>
      <x:c r="C4" s="84" t="str">
        <x:v>Tipo respuesta</x:v>
      </x:c>
      <x:c r="D4" s="84" t="str">
        <x:v>Opciones/rango</x:v>
      </x:c>
      <x:c r="E4" s="84" t="str">
        <x:v>Filtra</x:v>
      </x:c>
      <x:c r="F4" s="84" t="str">
        <x:v>MVP</x:v>
      </x:c>
      <x:c r="G4" s="84" t="str">
        <x:v>Dato sensible</x:v>
      </x:c>
      <x:c r="H4" s="84" t="str">
        <x:v>Nota de implementación</x:v>
      </x:c>
    </x:row>
    <x:row r="5">
      <x:c r="A5" s="86" t="str">
        <x:v>region</x:v>
      </x:c>
      <x:c r="B5" s="88" t="str">
        <x:v>¿En qué región se ejecutará el proyecto?</x:v>
      </x:c>
      <x:c r="C5" s="88" t="str">
        <x:v>Selección única</x:v>
      </x:c>
      <x:c r="D5" s="88" t="str">
        <x:v>16 regiones</x:v>
      </x:c>
      <x:c r="E5" s="88" t="str">
        <x:v>Alcance territorial</x:v>
      </x:c>
      <x:c r="F5" s="88" t="str">
        <x:v>Sí</x:v>
      </x:c>
      <x:c r="G5" s="88" t="str">
        <x:v>No</x:v>
      </x:c>
      <x:c r="H5" s="89" t="str">
        <x:v>Filtro excluyente frecuente</x:v>
      </x:c>
    </x:row>
    <x:row r="6">
      <x:c r="A6" s="93" t="str">
        <x:v>comuna</x:v>
      </x:c>
      <x:c r="B6" s="95" t="str">
        <x:v>¿En qué comuna funciona o funcionará?</x:v>
      </x:c>
      <x:c r="C6" s="95" t="str">
        <x:v>Texto/autocompletar</x:v>
      </x:c>
      <x:c r="D6" s="95" t="str">
        <x:v>Comunas de Chile</x:v>
      </x:c>
      <x:c r="E6" s="95" t="str">
        <x:v>Convocatorias comunales y FNDR</x:v>
      </x:c>
      <x:c r="F6" s="95" t="str">
        <x:v>Sí</x:v>
      </x:c>
      <x:c r="G6" s="95" t="str">
        <x:v>No</x:v>
      </x:c>
      <x:c r="H6" s="96" t="str">
        <x:v>Necesario para fondos territoriales</x:v>
      </x:c>
    </x:row>
    <x:row r="7">
      <x:c r="A7" s="93" t="str">
        <x:v>etapa</x:v>
      </x:c>
      <x:c r="B7" s="95" t="str">
        <x:v>¿En qué etapa está?</x:v>
      </x:c>
      <x:c r="C7" s="95" t="str">
        <x:v>Selección única</x:v>
      </x:c>
      <x:c r="D7" s="95" t="str">
        <x:v>Idea / incubación / ventas informales / ventas formales baja escala</x:v>
      </x:c>
      <x:c r="E7" s="95" t="str">
        <x:v>Etapas Humm</x:v>
      </x:c>
      <x:c r="F7" s="95" t="str">
        <x:v>Sí</x:v>
      </x:c>
      <x:c r="G7" s="95" t="str">
        <x:v>No</x:v>
      </x:c>
      <x:c r="H7" s="96" t="str">
        <x:v>Pregunta principal del MVP</x:v>
      </x:c>
    </x:row>
    <x:row r="8">
      <x:c r="A8" s="93" t="str">
        <x:v>formalizacion</x:v>
      </x:c>
      <x:c r="B8" s="95" t="str">
        <x:v>¿Tienes inicio de actividades?</x:v>
      </x:c>
      <x:c r="C8" s="95" t="str">
        <x:v>Selección única</x:v>
      </x:c>
      <x:c r="D8" s="95" t="str">
        <x:v>No / segunda categoría / primera categoría</x:v>
      </x:c>
      <x:c r="E8" s="95" t="str">
        <x:v>Formalización objetivo</x:v>
      </x:c>
      <x:c r="F8" s="95" t="str">
        <x:v>Sí</x:v>
      </x:c>
      <x:c r="G8" s="95" t="str">
        <x:v>No</x:v>
      </x:c>
      <x:c r="H8" s="96" t="str">
        <x:v>Primera y segunda categoría no son equivalentes</x:v>
      </x:c>
    </x:row>
    <x:row r="9">
      <x:c r="A9" s="93" t="str">
        <x:v>antiguedad_empresa_meses</x:v>
      </x:c>
      <x:c r="B9" s="95" t="str">
        <x:v>¿Hace cuántos meses iniciaste actividades?</x:v>
      </x:c>
      <x:c r="C9" s="95" t="str">
        <x:v>Número</x:v>
      </x:c>
      <x:c r="D9" s="95" t="str">
        <x:v>0–240</x:v>
      </x:c>
      <x:c r="E9" s="95" t="str">
        <x:v>Requisitos de antigüedad</x:v>
      </x:c>
      <x:c r="F9" s="95" t="str">
        <x:v>Condicional</x:v>
      </x:c>
      <x:c r="G9" s="95" t="str">
        <x:v>No</x:v>
      </x:c>
      <x:c r="H9" s="96" t="str">
        <x:v>Clave para Corfo y llamados especiales</x:v>
      </x:c>
    </x:row>
    <x:row r="10">
      <x:c r="A10" s="93" t="str">
        <x:v>ventas_anuales_uf</x:v>
      </x:c>
      <x:c r="B10" s="95" t="str">
        <x:v>¿Cuánto vendió el negocio el último año?</x:v>
      </x:c>
      <x:c r="C10" s="95" t="str">
        <x:v>Rango</x:v>
      </x:c>
      <x:c r="D10" s="95" t="str">
        <x:v>0 / &lt;150 / 150–2.400 / 2.401–5.000 / 5.001–25.000 UF</x:v>
      </x:c>
      <x:c r="E10" s="95" t="str">
        <x:v>Rangos de venta</x:v>
      </x:c>
      <x:c r="F10" s="95" t="str">
        <x:v>Condicional</x:v>
      </x:c>
      <x:c r="G10" s="95" t="str">
        <x:v>Sí</x:v>
      </x:c>
      <x:c r="H10" s="96" t="str">
        <x:v>Permitir 'aún no sé'</x:v>
      </x:c>
    </x:row>
    <x:row r="11">
      <x:c r="A11" s="93" t="str">
        <x:v>ventas_solucion</x:v>
      </x:c>
      <x:c r="B11" s="95" t="str">
        <x:v>¿La solución específica ya tiene ventas?</x:v>
      </x:c>
      <x:c r="C11" s="95" t="str">
        <x:v>Sí/No</x:v>
      </x:c>
      <x:c r="D11" s="95" t="str">
        <x:v>Sí / No</x:v>
      </x:c>
      <x:c r="E11" s="95" t="str">
        <x:v>Corfo Semilla</x:v>
      </x:c>
      <x:c r="F11" s="95" t="str">
        <x:v>Condicional</x:v>
      </x:c>
      <x:c r="G11" s="95" t="str">
        <x:v>No</x:v>
      </x:c>
      <x:c r="H11" s="96" t="str">
        <x:v>Diferente de ventas de otras actividades</x:v>
      </x:c>
    </x:row>
    <x:row r="12">
      <x:c r="A12" s="93" t="str">
        <x:v>uso_fondos</x:v>
      </x:c>
      <x:c r="B12" s="95" t="str">
        <x:v>¿Qué necesitas financiar?</x:v>
      </x:c>
      <x:c r="C12" s="95" t="str">
        <x:v>Selección múltiple</x:v>
      </x:c>
      <x:c r="D12" s="95" t="str">
        <x:v>Equipos / capital de trabajo / marketing / digitalización / validación / asesoría / riego / formación</x:v>
      </x:c>
      <x:c r="E12" s="95" t="str">
        <x:v>Qué financia</x:v>
      </x:c>
      <x:c r="F12" s="95" t="str">
        <x:v>Sí</x:v>
      </x:c>
      <x:c r="G12" s="95" t="str">
        <x:v>No</x:v>
      </x:c>
      <x:c r="H12" s="96" t="str">
        <x:v>Evita recomendar fondos que no cubren el gasto</x:v>
      </x:c>
    </x:row>
    <x:row r="13">
      <x:c r="A13" s="93" t="str">
        <x:v>monto_necesario</x:v>
      </x:c>
      <x:c r="B13" s="95" t="str">
        <x:v>¿Cuánto necesitas aproximadamente?</x:v>
      </x:c>
      <x:c r="C13" s="95" t="str">
        <x:v>Rango CLP</x:v>
      </x:c>
      <x:c r="D13" s="95" t="str">
        <x:v>&lt;1M / 1–3,5M / 3,5–10M / 10–20M / &gt;20M</x:v>
      </x:c>
      <x:c r="E13" s="95" t="str">
        <x:v>Monto máximo</x:v>
      </x:c>
      <x:c r="F13" s="95" t="str">
        <x:v>Sí</x:v>
      </x:c>
      <x:c r="G13" s="95" t="str">
        <x:v>Sí</x:v>
      </x:c>
      <x:c r="H13" s="96" t="str">
        <x:v>Rango, no cifra exacta</x:v>
      </x:c>
    </x:row>
    <x:row r="14">
      <x:c r="A14" s="93" t="str">
        <x:v>aporte_disponible</x:v>
      </x:c>
      <x:c r="B14" s="95" t="str">
        <x:v>¿Puedes aportar una parte del proyecto?</x:v>
      </x:c>
      <x:c r="C14" s="95" t="str">
        <x:v>Rango porcentual</x:v>
      </x:c>
      <x:c r="D14" s="95" t="str">
        <x:v>0 / 1–5 / 6–15 / 16–30 / &gt;30%</x:v>
      </x:c>
      <x:c r="E14" s="95" t="str">
        <x:v>Aporte postulante</x:v>
      </x:c>
      <x:c r="F14" s="95" t="str">
        <x:v>Sí</x:v>
      </x:c>
      <x:c r="G14" s="95" t="str">
        <x:v>Sí</x:v>
      </x:c>
      <x:c r="H14" s="96" t="str">
        <x:v>Puede ser efectivo o valorizado según bases</x:v>
      </x:c>
    </x:row>
    <x:row r="15">
      <x:c r="A15" s="93" t="str">
        <x:v>sector</x:v>
      </x:c>
      <x:c r="B15" s="95" t="str">
        <x:v>¿Cuál es el sector principal?</x:v>
      </x:c>
      <x:c r="C15" s="95" t="str">
        <x:v>Selección</x:v>
      </x:c>
      <x:c r="D15" s="95" t="str">
        <x:v>Multisectorial / rural / agro / pesca / cultura / turismo / tecnología / comercio / servicios</x:v>
      </x:c>
      <x:c r="E15" s="95" t="str">
        <x:v>Sector</x:v>
      </x:c>
      <x:c r="F15" s="95" t="str">
        <x:v>Sí</x:v>
      </x:c>
      <x:c r="G15" s="95" t="str">
        <x:v>No</x:v>
      </x:c>
      <x:c r="H15" s="96" t="str">
        <x:v>Permite rutas especializadas</x:v>
      </x:c>
    </x:row>
    <x:row r="16">
      <x:c r="A16" s="93" t="str">
        <x:v>innovacion</x:v>
      </x:c>
      <x:c r="B16" s="95" t="str">
        <x:v>¿Tu propuesta incorpora una innovación verificable?</x:v>
      </x:c>
      <x:c r="C16" s="95" t="str">
        <x:v>Selección</x:v>
      </x:c>
      <x:c r="D16" s="95" t="str">
        <x:v>No / mejora local / nueva para mercado / I+D científico-tecnológica</x:v>
      </x:c>
      <x:c r="E16" s="95" t="str">
        <x:v>Requisitos de innovación</x:v>
      </x:c>
      <x:c r="F16" s="95" t="str">
        <x:v>Condicional</x:v>
      </x:c>
      <x:c r="G16" s="95" t="str">
        <x:v>No</x:v>
      </x:c>
      <x:c r="H16" s="96" t="str">
        <x:v>No usar la palabra innovación sin ejemplo</x:v>
      </x:c>
    </x:row>
    <x:row r="17">
      <x:c r="A17" s="93" t="str">
        <x:v>rsh</x:v>
      </x:c>
      <x:c r="B17" s="95" t="str">
        <x:v>¿Estás en el Registro Social de Hogares?</x:v>
      </x:c>
      <x:c r="C17" s="95" t="str">
        <x:v>Rango opcional</x:v>
      </x:c>
      <x:c r="D17" s="95" t="str">
        <x:v>No sé / ≤40 / 41–60 / &gt;60 / no tengo</x:v>
      </x:c>
      <x:c r="E17" s="95" t="str">
        <x:v>Requisitos FOSIS</x:v>
      </x:c>
      <x:c r="F17" s="95" t="str">
        <x:v>Condicional</x:v>
      </x:c>
      <x:c r="G17" s="95" t="str">
        <x:v>Sí</x:v>
      </x:c>
      <x:c r="H17" s="96" t="str">
        <x:v>Solicitar solo cuando abre ruta FOSIS</x:v>
      </x:c>
    </x:row>
    <x:row r="18">
      <x:c r="A18" s="93" t="str">
        <x:v>genero</x:v>
      </x:c>
      <x:c r="B18" s="95" t="str">
        <x:v>¿Postulas a una línea dirigida a mujeres?</x:v>
      </x:c>
      <x:c r="C18" s="95" t="str">
        <x:v>Opcional</x:v>
      </x:c>
      <x:c r="D18" s="95" t="str">
        <x:v>Sí / No / prefiero no responder</x:v>
      </x:c>
      <x:c r="E18" s="95" t="str">
        <x:v>Fondos para mujeres</x:v>
      </x:c>
      <x:c r="F18" s="95" t="str">
        <x:v>Condicional</x:v>
      </x:c>
      <x:c r="G18" s="95" t="str">
        <x:v>Sí</x:v>
      </x:c>
      <x:c r="H18" s="96" t="str">
        <x:v>No usar para excluir fondos generales</x:v>
      </x:c>
    </x:row>
    <x:row r="19">
      <x:c r="A19" s="93" t="str">
        <x:v>edad_rango</x:v>
      </x:c>
      <x:c r="B19" s="95" t="str">
        <x:v>¿En qué rango de edad estás?</x:v>
      </x:c>
      <x:c r="C19" s="95" t="str">
        <x:v>Rango</x:v>
      </x:c>
      <x:c r="D19" s="95" t="str">
        <x:v>18–29 / 30–40 / 41–54 / 55+</x:v>
      </x:c>
      <x:c r="E19" s="95" t="str">
        <x:v>Modo Empleo, INDAP joven, senior</x:v>
      </x:c>
      <x:c r="F19" s="95" t="str">
        <x:v>Condicional</x:v>
      </x:c>
      <x:c r="G19" s="95" t="str">
        <x:v>Sí</x:v>
      </x:c>
      <x:c r="H19" s="96" t="str">
        <x:v>Pedir solo si cambia resultados</x:v>
      </x:c>
    </x:row>
    <x:row r="20">
      <x:c r="A20" s="93" t="str">
        <x:v>calidad_indigena</x:v>
      </x:c>
      <x:c r="B20" s="95" t="str">
        <x:v>¿Cuentas con acreditación de calidad indígena?</x:v>
      </x:c>
      <x:c r="C20" s="95" t="str">
        <x:v>Sí/No opcional</x:v>
      </x:c>
      <x:c r="D20" s="95" t="str">
        <x:v>Sí / No</x:v>
      </x:c>
      <x:c r="E20" s="95" t="str">
        <x:v>CONADI</x:v>
      </x:c>
      <x:c r="F20" s="95" t="str">
        <x:v>Condicional</x:v>
      </x:c>
      <x:c r="G20" s="95" t="str">
        <x:v>Sí</x:v>
      </x:c>
      <x:c r="H20" s="96" t="str">
        <x:v>Pedir únicamente en ruta CONADI</x:v>
      </x:c>
    </x:row>
    <x:row r="21">
      <x:c r="A21" s="93" t="str">
        <x:v>usuario_indap</x:v>
      </x:c>
      <x:c r="B21" s="95" t="str">
        <x:v>¿Eres usuario o usuaria INDAP?</x:v>
      </x:c>
      <x:c r="C21" s="95" t="str">
        <x:v>Sí/No</x:v>
      </x:c>
      <x:c r="D21" s="95" t="str">
        <x:v>Sí / No / no sé</x:v>
      </x:c>
      <x:c r="E21" s="95" t="str">
        <x:v>INDAP</x:v>
      </x:c>
      <x:c r="F21" s="95" t="str">
        <x:v>Condicional</x:v>
      </x:c>
      <x:c r="G21" s="95" t="str">
        <x:v>No</x:v>
      </x:c>
      <x:c r="H21" s="96" t="str">
        <x:v>Puede requerir acreditación previa</x:v>
      </x:c>
    </x:row>
    <x:row r="22">
      <x:c r="A22" s="93" t="str">
        <x:v>usuario_indespa</x:v>
      </x:c>
      <x:c r="B22" s="95" t="str">
        <x:v>¿Perteneces a pesca artesanal o acuicultura de pequeña escala?</x:v>
      </x:c>
      <x:c r="C22" s="95" t="str">
        <x:v>Sí/No</x:v>
      </x:c>
      <x:c r="D22" s="95" t="str">
        <x:v>Sí / No</x:v>
      </x:c>
      <x:c r="E22" s="95" t="str">
        <x:v>INDESPA</x:v>
      </x:c>
      <x:c r="F22" s="95" t="str">
        <x:v>Condicional</x:v>
      </x:c>
      <x:c r="G22" s="95" t="str">
        <x:v>No</x:v>
      </x:c>
      <x:c r="H22" s="96" t="str">
        <x:v>Confirmar registros sectoriales después</x:v>
      </x:c>
    </x:row>
    <x:row r="23">
      <x:c r="A23" s="93" t="str">
        <x:v>propietario_bosque</x:v>
      </x:c>
      <x:c r="B23" s="95" t="str">
        <x:v>¿Eres propietario de un predio con bosque nativo?</x:v>
      </x:c>
      <x:c r="C23" s="95" t="str">
        <x:v>Sí/No</x:v>
      </x:c>
      <x:c r="D23" s="95" t="str">
        <x:v>Sí / No</x:v>
      </x:c>
      <x:c r="E23" s="95" t="str">
        <x:v>CONAF</x:v>
      </x:c>
      <x:c r="F23" s="95" t="str">
        <x:v>Condicional</x:v>
      </x:c>
      <x:c r="G23" s="95" t="str">
        <x:v>No</x:v>
      </x:c>
      <x:c r="H23" s="96" t="str">
        <x:v>Activa ruta Ley Bosque Nativo</x:v>
      </x:c>
    </x:row>
    <x:row r="24">
      <x:c r="A24" s="93" t="str">
        <x:v>objetivo_exportar</x:v>
      </x:c>
      <x:c r="B24" s="95" t="str">
        <x:v>¿Buscas vender fuera de Chile?</x:v>
      </x:c>
      <x:c r="C24" s="95" t="str">
        <x:v>Sí/No</x:v>
      </x:c>
      <x:c r="D24" s="95" t="str">
        <x:v>Sí / No</x:v>
      </x:c>
      <x:c r="E24" s="95" t="str">
        <x:v>ProChile</x:v>
      </x:c>
      <x:c r="F24" s="95" t="str">
        <x:v>Condicional</x:v>
      </x:c>
      <x:c r="G24" s="95" t="str">
        <x:v>No</x:v>
      </x:c>
      <x:c r="H24" s="96" t="str">
        <x:v>Baja prioridad para idea</x:v>
      </x:c>
    </x:row>
    <x:row r="25">
      <x:c r="A25" s="93" t="str">
        <x:v>afiliacion_caja</x:v>
      </x:c>
      <x:c r="B25" s="95" t="str">
        <x:v>¿Estás afiliado a una caja de compensación con concurso abierto?</x:v>
      </x:c>
      <x:c r="C25" s="95" t="str">
        <x:v>Selección opcional</x:v>
      </x:c>
      <x:c r="D25" s="95" t="str">
        <x:v>La Araucana / otra / no sé</x:v>
      </x:c>
      <x:c r="E25" s="95" t="str">
        <x:v>Concursos privados</x:v>
      </x:c>
      <x:c r="F25" s="95" t="str">
        <x:v>Condicional</x:v>
      </x:c>
      <x:c r="G25" s="95" t="str">
        <x:v>Sí</x:v>
      </x:c>
      <x:c r="H25" s="96" t="str">
        <x:v>No pedir en cuestionario inicial salvo apertura relevante</x:v>
      </x:c>
    </x:row>
    <x:row r="26">
      <x:c r="A26" s="100" t="str">
        <x:v>fecha_disponibilidad</x:v>
      </x:c>
      <x:c r="B26" s="102" t="str">
        <x:v>¿Puedes preparar una postulación durante las próximas semanas?</x:v>
      </x:c>
      <x:c r="C26" s="102" t="str">
        <x:v>Selección</x:v>
      </x:c>
      <x:c r="D26" s="102" t="str">
        <x:v>Sí / no / necesito apoyo</x:v>
      </x:c>
      <x:c r="E26" s="102" t="str">
        <x:v>Estado y fecha de cierre</x:v>
      </x:c>
      <x:c r="F26" s="102" t="str">
        <x:v>Sí</x:v>
      </x:c>
      <x:c r="G26" s="102" t="str">
        <x:v>No</x:v>
      </x:c>
      <x:c r="H26" s="103" t="str">
        <x:v>Evita mostrar oportunidades imposibles por plazo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26aa2b4da414e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0" hidden="0" customWidth="1"/>
    <x:col min="4" max="4" width="58" hidden="0" customWidth="1"/>
    <x:col min="5" max="5" width="14" hidden="0" customWidth="1"/>
    <x:col min="6" max="6" width="40" hidden="0" customWidth="1"/>
    <x:col min="7" max="7" width="16" hidden="0" customWidth="1"/>
  </x:cols>
  <x:sheetData>
    <x:row r="1" ht="34" customHeight="1">
      <x:c r="A1" s="81" t="str">
        <x:v>Fuentes oficiales</x:v>
      </x:c>
      <x:c r="B1" s="81"/>
      <x:c r="C1" s="81"/>
      <x:c r="D1" s="81"/>
      <x:c r="E1" s="81"/>
      <x:c r="F1" s="81"/>
      <x:c r="G1" s="81"/>
    </x:row>
    <x:row r="2" ht="32" customHeight="1">
      <x:c r="A2" s="82" t="str">
        <x:v>Cada URL respalda campos del catálogo. Revisar nuevamente las bases al abrir o cambiar una convocatoria.</x:v>
      </x:c>
      <x:c r="B2" s="82"/>
      <x:c r="C2" s="82"/>
      <x:c r="D2" s="82"/>
      <x:c r="E2" s="82"/>
      <x:c r="F2" s="82"/>
      <x:c r="G2" s="82"/>
    </x:row>
    <x:row r="3">
      <x:c r="A3" s="83"/>
      <x:c r="B3" s="83"/>
      <x:c r="C3" s="83"/>
      <x:c r="D3" s="83"/>
      <x:c r="E3" s="83"/>
      <x:c r="F3" s="83"/>
      <x:c r="G3" s="83"/>
    </x:row>
    <x:row r="4" ht="38" customHeight="1">
      <x:c r="A4" s="84" t="str">
        <x:v>Fuente ID</x:v>
      </x:c>
      <x:c r="B4" s="84" t="str">
        <x:v>Entidad</x:v>
      </x:c>
      <x:c r="C4" s="84" t="str">
        <x:v>Documento o portal</x:v>
      </x:c>
      <x:c r="D4" s="84" t="str">
        <x:v>URL</x:v>
      </x:c>
      <x:c r="E4" s="84" t="str">
        <x:v>Tipo</x:v>
      </x:c>
      <x:c r="F4" s="84" t="str">
        <x:v>Qué respalda</x:v>
      </x:c>
      <x:c r="G4" s="84" t="str">
        <x:v>Verificado</x:v>
      </x:c>
    </x:row>
    <x:row r="5">
      <x:c r="A5" s="86" t="str">
        <x:v>SRC-001</x:v>
      </x:c>
      <x:c r="B5" s="88" t="str">
        <x:v>FOSIS</x:v>
      </x:c>
      <x:c r="C5" s="88" t="str">
        <x:v>Programas de autonomía económica</x:v>
      </x:c>
      <x:c r="D5" s="88" t="str">
        <x:v>https://www.fosis.gob.cl/es/programas/autonomia-economica/</x:v>
      </x:c>
      <x:c r="E5" s="88" t="str">
        <x:v>Oficial</x:v>
      </x:c>
      <x:c r="F5" s="88" t="str">
        <x:v>Familia Emprendamos y perfiles</x:v>
      </x:c>
      <x:c r="G5" s="127" t="n">
        <x:v>46262</x:v>
      </x:c>
    </x:row>
    <x:row r="6">
      <x:c r="A6" s="93" t="str">
        <x:v>SRC-002</x:v>
      </x:c>
      <x:c r="B6" s="95" t="str">
        <x:v>FOSIS</x:v>
      </x:c>
      <x:c r="C6" s="95" t="str">
        <x:v>Emprendamos</x:v>
      </x:c>
      <x:c r="D6" s="95" t="str">
        <x:v>https://www.fosis.gob.cl/es/programas/autonomia-economica/emprendamos/</x:v>
      </x:c>
      <x:c r="E6" s="95" t="str">
        <x:v>Oficial</x:v>
      </x:c>
      <x:c r="F6" s="95" t="str">
        <x:v>Requisitos y apoyo a negocios formales</x:v>
      </x:c>
      <x:c r="G6" s="128" t="n">
        <x:v>46262</x:v>
      </x:c>
    </x:row>
    <x:row r="7">
      <x:c r="A7" s="93" t="str">
        <x:v>SRC-003</x:v>
      </x:c>
      <x:c r="B7" s="95" t="str">
        <x:v>FOSIS</x:v>
      </x:c>
      <x:c r="C7" s="95" t="str">
        <x:v>Portal de postulaciones</x:v>
      </x:c>
      <x:c r="D7" s="95" t="str">
        <x:v>https://www.fosis.gob.cl/es/postulaciones/</x:v>
      </x:c>
      <x:c r="E7" s="95" t="str">
        <x:v>Oficial</x:v>
      </x:c>
      <x:c r="F7" s="95" t="str">
        <x:v>Estado ciclo 2026</x:v>
      </x:c>
      <x:c r="G7" s="128" t="n">
        <x:v>46262</x:v>
      </x:c>
    </x:row>
    <x:row r="8">
      <x:c r="A8" s="93" t="str">
        <x:v>SRC-004</x:v>
      </x:c>
      <x:c r="B8" s="95" t="str">
        <x:v>Sercotec</x:v>
      </x:c>
      <x:c r="C8" s="95" t="str">
        <x:v>Programas y servicios digitalizados</x:v>
      </x:c>
      <x:c r="D8" s="95" t="str">
        <x:v>https://www.sercotec.cl/programas-y-servicios-digitalizados/</x:v>
      </x:c>
      <x:c r="E8" s="95" t="str">
        <x:v>Oficial</x:v>
      </x:c>
      <x:c r="F8" s="95" t="str">
        <x:v>Catálogo de instrumentos</x:v>
      </x:c>
      <x:c r="G8" s="128" t="n">
        <x:v>46262</x:v>
      </x:c>
    </x:row>
    <x:row r="9">
      <x:c r="A9" s="93" t="str">
        <x:v>SRC-005</x:v>
      </x:c>
      <x:c r="B9" s="95" t="str">
        <x:v>Sercotec</x:v>
      </x:c>
      <x:c r="C9" s="95" t="str">
        <x:v>Calendario de convocatorias</x:v>
      </x:c>
      <x:c r="D9" s="95" t="str">
        <x:v>https://widgetsercotec.sercotec.cl/Calendario</x:v>
      </x:c>
      <x:c r="E9" s="95" t="str">
        <x:v>Oficial</x:v>
      </x:c>
      <x:c r="F9" s="95" t="str">
        <x:v>Aperturas y cierres regionales</x:v>
      </x:c>
      <x:c r="G9" s="128" t="n">
        <x:v>46262</x:v>
      </x:c>
    </x:row>
    <x:row r="10">
      <x:c r="A10" s="93" t="str">
        <x:v>SRC-006</x:v>
      </x:c>
      <x:c r="B10" s="95" t="str">
        <x:v>Sercotec</x:v>
      </x:c>
      <x:c r="C10" s="95" t="str">
        <x:v>Capital Semilla Emprende</x:v>
      </x:c>
      <x:c r="D10" s="95" t="str">
        <x:v>https://www.sercotec.cl/programas/capital-semilla-emprende/</x:v>
      </x:c>
      <x:c r="E10" s="95" t="str">
        <x:v>Oficial</x:v>
      </x:c>
      <x:c r="F10" s="95" t="str">
        <x:v>Monto y requisitos</x:v>
      </x:c>
      <x:c r="G10" s="128" t="n">
        <x:v>46262</x:v>
      </x:c>
    </x:row>
    <x:row r="11">
      <x:c r="A11" s="93" t="str">
        <x:v>SRC-007</x:v>
      </x:c>
      <x:c r="B11" s="95" t="str">
        <x:v>Sercotec</x:v>
      </x:c>
      <x:c r="C11" s="95" t="str">
        <x:v>Capital Abeja Emprende</x:v>
      </x:c>
      <x:c r="D11" s="95" t="str">
        <x:v>https://www.sercotec.cl/programas/capital-abeja-emprende/</x:v>
      </x:c>
      <x:c r="E11" s="95" t="str">
        <x:v>Oficial</x:v>
      </x:c>
      <x:c r="F11" s="95" t="str">
        <x:v>Monto y requisitos</x:v>
      </x:c>
      <x:c r="G11" s="128" t="n">
        <x:v>46262</x:v>
      </x:c>
    </x:row>
    <x:row r="12">
      <x:c r="A12" s="93" t="str">
        <x:v>SRC-008</x:v>
      </x:c>
      <x:c r="B12" s="95" t="str">
        <x:v>Sercotec</x:v>
      </x:c>
      <x:c r="C12" s="95" t="str">
        <x:v>Crece Sostenible</x:v>
      </x:c>
      <x:c r="D12" s="95" t="str">
        <x:v>https://www.sercotec.cl/programas/crece-sostenible/</x:v>
      </x:c>
      <x:c r="E12" s="95" t="str">
        <x:v>Oficial</x:v>
      </x:c>
      <x:c r="F12" s="95" t="str">
        <x:v>Monto y ventas elegibles</x:v>
      </x:c>
      <x:c r="G12" s="128" t="n">
        <x:v>46262</x:v>
      </x:c>
    </x:row>
    <x:row r="13">
      <x:c r="A13" s="93" t="str">
        <x:v>SRC-009</x:v>
      </x:c>
      <x:c r="B13" s="95" t="str">
        <x:v>Sercotec</x:v>
      </x:c>
      <x:c r="C13" s="95" t="str">
        <x:v>Modo Empleo Los Ríos</x:v>
      </x:c>
      <x:c r="D13" s="95" t="str">
        <x:v>https://www.sercotec.cl/convocatoria/capital-semilla-modo-empleo-region-de-los-rios/</x:v>
      </x:c>
      <x:c r="E13" s="95" t="str">
        <x:v>Oficial</x:v>
      </x:c>
      <x:c r="F13" s="95" t="str">
        <x:v>Fechas, monto, aporte y perfil</x:v>
      </x:c>
      <x:c r="G13" s="128" t="n">
        <x:v>46262</x:v>
      </x:c>
    </x:row>
    <x:row r="14">
      <x:c r="A14" s="93" t="str">
        <x:v>SRC-010</x:v>
      </x:c>
      <x:c r="B14" s="95" t="str">
        <x:v>Sercotec</x:v>
      </x:c>
      <x:c r="C14" s="95" t="str">
        <x:v>Crece MIPE Porvenir</x:v>
      </x:c>
      <x:c r="D14" s="95" t="str">
        <x:v>https://www.sercotec.cl/convocatoria/crece-mipe-porvenir-fndr/</x:v>
      </x:c>
      <x:c r="E14" s="95" t="str">
        <x:v>Oficial</x:v>
      </x:c>
      <x:c r="F14" s="95" t="str">
        <x:v>Convocatoria abierta</x:v>
      </x:c>
      <x:c r="G14" s="128" t="n">
        <x:v>46262</x:v>
      </x:c>
    </x:row>
    <x:row r="15">
      <x:c r="A15" s="93" t="str">
        <x:v>SRC-011</x:v>
      </x:c>
      <x:c r="B15" s="95" t="str">
        <x:v>Sercotec</x:v>
      </x:c>
      <x:c r="C15" s="95" t="str">
        <x:v>Reactívate Aysén</x:v>
      </x:c>
      <x:c r="D15" s="95" t="str">
        <x:v>https://www.sercotec.cl/convocatoria/reactivate-multisectorial-aysen_fndr-2026/</x:v>
      </x:c>
      <x:c r="E15" s="95" t="str">
        <x:v>Oficial</x:v>
      </x:c>
      <x:c r="F15" s="95" t="str">
        <x:v>Convocatoria abierta</x:v>
      </x:c>
      <x:c r="G15" s="128" t="n">
        <x:v>46262</x:v>
      </x:c>
    </x:row>
    <x:row r="16">
      <x:c r="A16" s="93" t="str">
        <x:v>SRC-012</x:v>
      </x:c>
      <x:c r="B16" s="95" t="str">
        <x:v>Sercotec</x:v>
      </x:c>
      <x:c r="C16" s="95" t="str">
        <x:v>Inicia Turismo Cisnes</x:v>
      </x:c>
      <x:c r="D16" s="95" t="str">
        <x:v>https://www.sercotec.cl/convocatoria/2026-fndr-inicia-tu-negocio-en-turismo-comuna-cisnes-sector-litoral/</x:v>
      </x:c>
      <x:c r="E16" s="95" t="str">
        <x:v>Oficial</x:v>
      </x:c>
      <x:c r="F16" s="95" t="str">
        <x:v>Convocatoria abierta</x:v>
      </x:c>
      <x:c r="G16" s="128" t="n">
        <x:v>46262</x:v>
      </x:c>
    </x:row>
    <x:row r="17">
      <x:c r="A17" s="93" t="str">
        <x:v>SRC-013</x:v>
      </x:c>
      <x:c r="B17" s="95" t="str">
        <x:v>Corfo</x:v>
      </x:c>
      <x:c r="C17" s="95" t="str">
        <x:v>Semilla Inicia Mujeres 2026</x:v>
      </x:c>
      <x:c r="D17" s="95" t="str">
        <x:v>https://www.corfo.gob.cl/sites/cpp/convocatoria/semilla-inicia-empresas-lideradas-por-mujeres-2026/</x:v>
      </x:c>
      <x:c r="E17" s="95" t="str">
        <x:v>Oficial</x:v>
      </x:c>
      <x:c r="F17" s="95" t="str">
        <x:v>Monto, aporte y elegibilidad</x:v>
      </x:c>
      <x:c r="G17" s="128" t="n">
        <x:v>46262</x:v>
      </x:c>
    </x:row>
    <x:row r="18">
      <x:c r="A18" s="93" t="str">
        <x:v>SRC-014</x:v>
      </x:c>
      <x:c r="B18" s="95" t="str">
        <x:v>Corfo</x:v>
      </x:c>
      <x:c r="C18" s="95" t="str">
        <x:v>Semilla Inicia Los Lagos 2026</x:v>
      </x:c>
      <x:c r="D18" s="95" t="str">
        <x:v>https://www.corfo.gob.cl/sites/cpp/convocatoria/semilla-inicia-los-lagos-2026/</x:v>
      </x:c>
      <x:c r="E18" s="95" t="str">
        <x:v>Oficial</x:v>
      </x:c>
      <x:c r="F18" s="95" t="str">
        <x:v>Monto, aporte y fechas</x:v>
      </x:c>
      <x:c r="G18" s="128" t="n">
        <x:v>46262</x:v>
      </x:c>
    </x:row>
    <x:row r="19">
      <x:c r="A19" s="93" t="str">
        <x:v>SRC-015</x:v>
      </x:c>
      <x:c r="B19" s="95" t="str">
        <x:v>Corfo</x:v>
      </x:c>
      <x:c r="C19" s="95" t="str">
        <x:v>Semilla Expande</x:v>
      </x:c>
      <x:c r="D19" s="95" t="str">
        <x:v>https://www.corfo.gob.cl/sites/cpp/programa/semilla-expande/</x:v>
      </x:c>
      <x:c r="E19" s="95" t="str">
        <x:v>Oficial</x:v>
      </x:c>
      <x:c r="F19" s="95" t="str">
        <x:v>Perfil y convocatorias 2026</x:v>
      </x:c>
      <x:c r="G19" s="128" t="n">
        <x:v>46262</x:v>
      </x:c>
    </x:row>
    <x:row r="20">
      <x:c r="A20" s="93" t="str">
        <x:v>SRC-016</x:v>
      </x:c>
      <x:c r="B20" s="95" t="str">
        <x:v>Start-Up Chile</x:v>
      </x:c>
      <x:c r="C20" s="95" t="str">
        <x:v>Build</x:v>
      </x:c>
      <x:c r="D20" s="95" t="str">
        <x:v>https://startupchile.org/postula/build/</x:v>
      </x:c>
      <x:c r="E20" s="95" t="str">
        <x:v>Oficial</x:v>
      </x:c>
      <x:c r="F20" s="95" t="str">
        <x:v>Etapa, monto y cofinanciamiento</x:v>
      </x:c>
      <x:c r="G20" s="128" t="n">
        <x:v>46262</x:v>
      </x:c>
    </x:row>
    <x:row r="21">
      <x:c r="A21" s="93" t="str">
        <x:v>SRC-017</x:v>
      </x:c>
      <x:c r="B21" s="95" t="str">
        <x:v>Start-Up Chile</x:v>
      </x:c>
      <x:c r="C21" s="95" t="str">
        <x:v>Ignite</x:v>
      </x:c>
      <x:c r="D21" s="95" t="str">
        <x:v>https://startupchile.org/postula/ignite/</x:v>
      </x:c>
      <x:c r="E21" s="95" t="str">
        <x:v>Oficial</x:v>
      </x:c>
      <x:c r="F21" s="95" t="str">
        <x:v>Etapa, monto y cofinanciamiento</x:v>
      </x:c>
      <x:c r="G21" s="128" t="n">
        <x:v>46262</x:v>
      </x:c>
    </x:row>
    <x:row r="22">
      <x:c r="A22" s="93" t="str">
        <x:v>SRC-018</x:v>
      </x:c>
      <x:c r="B22" s="95" t="str">
        <x:v>INDAP</x:v>
      </x:c>
      <x:c r="C22" s="95" t="str">
        <x:v>Mi Primer Negocio Rural</x:v>
      </x:c>
      <x:c r="D22" s="95" t="str">
        <x:v>https://www.indap.gob.cl/plataforma-de-servicios/mi-primer-negocio-rural</x:v>
      </x:c>
      <x:c r="E22" s="95" t="str">
        <x:v>Oficial</x:v>
      </x:c>
      <x:c r="F22" s="95" t="str">
        <x:v>Perfil, montos y aporte</x:v>
      </x:c>
      <x:c r="G22" s="128" t="n">
        <x:v>46262</x:v>
      </x:c>
    </x:row>
    <x:row r="23">
      <x:c r="A23" s="93" t="str">
        <x:v>SRC-019</x:v>
      </x:c>
      <x:c r="B23" s="95" t="str">
        <x:v>INDAP</x:v>
      </x:c>
      <x:c r="C23" s="95" t="str">
        <x:v>Programa de Desarrollo de Inversiones</x:v>
      </x:c>
      <x:c r="D23" s="95" t="str">
        <x:v>https://www.indap.gob.cl/plataforma-de-servicios/programa-de-desarrollo-de-inversiones-pdi</x:v>
      </x:c>
      <x:c r="E23" s="95" t="str">
        <x:v>Oficial</x:v>
      </x:c>
      <x:c r="F23" s="95" t="str">
        <x:v>Inversión y cofinanciamiento</x:v>
      </x:c>
      <x:c r="G23" s="128" t="n">
        <x:v>46262</x:v>
      </x:c>
    </x:row>
    <x:row r="24">
      <x:c r="A24" s="93" t="str">
        <x:v>SRC-020</x:v>
      </x:c>
      <x:c r="B24" s="95" t="str">
        <x:v>CONADI</x:v>
      </x:c>
      <x:c r="C24" s="95" t="str">
        <x:v>Concursos públicos</x:v>
      </x:c>
      <x:c r="D24" s="95" t="str">
        <x:v>https://www.conadi.gob.cl/concursos-publicos</x:v>
      </x:c>
      <x:c r="E24" s="95" t="str">
        <x:v>Oficial</x:v>
      </x:c>
      <x:c r="F24" s="95" t="str">
        <x:v>Concursos regionales</x:v>
      </x:c>
      <x:c r="G24" s="128" t="n">
        <x:v>46262</x:v>
      </x:c>
    </x:row>
    <x:row r="25">
      <x:c r="A25" s="93" t="str">
        <x:v>SRC-021</x:v>
      </x:c>
      <x:c r="B25" s="95" t="str">
        <x:v>CONADI</x:v>
      </x:c>
      <x:c r="C25" s="95" t="str">
        <x:v>Trámites y servicios</x:v>
      </x:c>
      <x:c r="D25" s="95" t="str">
        <x:v>https://www.conadi.gob.cl/tramites-y-servicios</x:v>
      </x:c>
      <x:c r="E25" s="95" t="str">
        <x:v>Oficial</x:v>
      </x:c>
      <x:c r="F25" s="95" t="str">
        <x:v>Líneas de fomento</x:v>
      </x:c>
      <x:c r="G25" s="128" t="n">
        <x:v>46262</x:v>
      </x:c>
    </x:row>
    <x:row r="26">
      <x:c r="A26" s="93" t="str">
        <x:v>SRC-022</x:v>
      </x:c>
      <x:c r="B26" s="95" t="str">
        <x:v>ProChile</x:v>
      </x:c>
      <x:c r="C26" s="95" t="str">
        <x:v>Concursos</x:v>
      </x:c>
      <x:c r="D26" s="95" t="str">
        <x:v>https://www.prochile.gob.cl/herramientas/concursos</x:v>
      </x:c>
      <x:c r="E26" s="95" t="str">
        <x:v>Oficial</x:v>
      </x:c>
      <x:c r="F26" s="95" t="str">
        <x:v>Proceso y perfiles exportadores</x:v>
      </x:c>
      <x:c r="G26" s="128" t="n">
        <x:v>46262</x:v>
      </x:c>
    </x:row>
    <x:row r="27">
      <x:c r="A27" s="93" t="str">
        <x:v>SRC-023</x:v>
      </x:c>
      <x:c r="B27" s="95" t="str">
        <x:v>FIA</x:v>
      </x:c>
      <x:c r="C27" s="95" t="str">
        <x:v>Convocatorias</x:v>
      </x:c>
      <x:c r="D27" s="95" t="str">
        <x:v>https://www.fia.cl/convocatorias/</x:v>
      </x:c>
      <x:c r="E27" s="95" t="str">
        <x:v>Oficial</x:v>
      </x:c>
      <x:c r="F27" s="95" t="str">
        <x:v>Líneas 1, 2, 3 y desafíos</x:v>
      </x:c>
      <x:c r="G27" s="128" t="n">
        <x:v>46262</x:v>
      </x:c>
    </x:row>
    <x:row r="28">
      <x:c r="A28" s="93" t="str">
        <x:v>SRC-024</x:v>
      </x:c>
      <x:c r="B28" s="95" t="str">
        <x:v>ANID</x:v>
      </x:c>
      <x:c r="C28" s="95" t="str">
        <x:v>Concursos</x:v>
      </x:c>
      <x:c r="D28" s="95" t="str">
        <x:v>https://www.anid.cl/concursos/</x:v>
      </x:c>
      <x:c r="E28" s="95" t="str">
        <x:v>Oficial</x:v>
      </x:c>
      <x:c r="F28" s="95" t="str">
        <x:v>Verificación de oferta vigente</x:v>
      </x:c>
      <x:c r="G28" s="128" t="n">
        <x:v>46262</x:v>
      </x:c>
    </x:row>
    <x:row r="29">
      <x:c r="A29" s="93" t="str">
        <x:v>SRC-025</x:v>
      </x:c>
      <x:c r="B29" s="95" t="str">
        <x:v>INDESPA</x:v>
      </x:c>
      <x:c r="C29" s="95" t="str">
        <x:v>Concursos</x:v>
      </x:c>
      <x:c r="D29" s="95" t="str">
        <x:v>https://www.indespa.cl/concursos/</x:v>
      </x:c>
      <x:c r="E29" s="95" t="str">
        <x:v>Oficial</x:v>
      </x:c>
      <x:c r="F29" s="95" t="str">
        <x:v>Catálogo y convocatorias</x:v>
      </x:c>
      <x:c r="G29" s="128" t="n">
        <x:v>46262</x:v>
      </x:c>
    </x:row>
    <x:row r="30">
      <x:c r="A30" s="93" t="str">
        <x:v>SRC-026</x:v>
      </x:c>
      <x:c r="B30" s="95" t="str">
        <x:v>INDESPA</x:v>
      </x:c>
      <x:c r="C30" s="95" t="str">
        <x:v>Mercados del Mar Food &amp; Service</x:v>
      </x:c>
      <x:c r="D30" s="95" t="str">
        <x:v>https://www.indespa.cl/concursos/mercados-del-mar-feria-food-service-2026-0/</x:v>
      </x:c>
      <x:c r="E30" s="95" t="str">
        <x:v>Oficial</x:v>
      </x:c>
      <x:c r="F30" s="95" t="str">
        <x:v>Fechas, requisitos y beneficio</x:v>
      </x:c>
      <x:c r="G30" s="128" t="n">
        <x:v>46262</x:v>
      </x:c>
    </x:row>
    <x:row r="31">
      <x:c r="A31" s="93" t="str">
        <x:v>SRC-027</x:v>
      </x:c>
      <x:c r="B31" s="95" t="str">
        <x:v>Fondos Cultura</x:v>
      </x:c>
      <x:c r="C31" s="95" t="str">
        <x:v>Portal de fondos</x:v>
      </x:c>
      <x:c r="D31" s="95" t="str">
        <x:v>https://www.fondosdecultura.cl/</x:v>
      </x:c>
      <x:c r="E31" s="95" t="str">
        <x:v>Oficial</x:v>
      </x:c>
      <x:c r="F31" s="95" t="str">
        <x:v>Convocatorias 2027 abiertas</x:v>
      </x:c>
      <x:c r="G31" s="128" t="n">
        <x:v>46262</x:v>
      </x:c>
    </x:row>
    <x:row r="32">
      <x:c r="A32" s="93" t="str">
        <x:v>SRC-028</x:v>
      </x:c>
      <x:c r="B32" s="95" t="str">
        <x:v>CNR</x:v>
      </x:c>
      <x:c r="C32" s="95" t="str">
        <x:v>Calendario Ley 18.450</x:v>
      </x:c>
      <x:c r="D32" s="95" t="str">
        <x:v>https://www.cnr.gob.cl/agricultores/calendario-de-concurso/</x:v>
      </x:c>
      <x:c r="E32" s="95" t="str">
        <x:v>Oficial</x:v>
      </x:c>
      <x:c r="F32" s="95" t="str">
        <x:v>Concursos 2026 y fechas</x:v>
      </x:c>
      <x:c r="G32" s="128" t="n">
        <x:v>46262</x:v>
      </x:c>
    </x:row>
    <x:row r="33">
      <x:c r="A33" s="93" t="str">
        <x:v>SRC-029</x:v>
      </x:c>
      <x:c r="B33" s="95" t="str">
        <x:v>CONAF</x:v>
      </x:c>
      <x:c r="C33" s="95" t="str">
        <x:v>Concurso Ley Bosque Nativo</x:v>
      </x:c>
      <x:c r="D33" s="95" t="str">
        <x:v>https://concursolbn.conaf.cl/</x:v>
      </x:c>
      <x:c r="E33" s="95" t="str">
        <x:v>Oficial</x:v>
      </x:c>
      <x:c r="F33" s="95" t="str">
        <x:v>Objeto, beneficiarios y estado</x:v>
      </x:c>
      <x:c r="G33" s="128" t="n">
        <x:v>46262</x:v>
      </x:c>
    </x:row>
    <x:row r="34">
      <x:c r="A34" s="93" t="str">
        <x:v>SRC-030</x:v>
      </x:c>
      <x:c r="B34" s="95" t="str">
        <x:v>Fundación Luksic</x:v>
      </x:c>
      <x:c r="C34" s="95" t="str">
        <x:v>Próximas convocatorias 2026</x:v>
      </x:c>
      <x:c r="D34" s="95" t="str">
        <x:v>https://fundacionluksic.cl/noticias/proximas-convocatorias/</x:v>
      </x:c>
      <x:c r="E34" s="95" t="str">
        <x:v>Oficial</x:v>
      </x:c>
      <x:c r="F34" s="95" t="str">
        <x:v>Impulso Chileno: fechas, requisitos y monto</x:v>
      </x:c>
      <x:c r="G34" s="128" t="n">
        <x:v>46262</x:v>
      </x:c>
    </x:row>
    <x:row r="35">
      <x:c r="A35" s="93" t="str">
        <x:v>SRC-031</x:v>
      </x:c>
      <x:c r="B35" s="95" t="str">
        <x:v>Nada Nos Detiene</x:v>
      </x:c>
      <x:c r="C35" s="95" t="str">
        <x:v>La Araucana 2026</x:v>
      </x:c>
      <x:c r="D35" s="95" t="str">
        <x:v>https://participa.nadanosdetiene.cl/laaraucana</x:v>
      </x:c>
      <x:c r="E35" s="95" t="str">
        <x:v>Oficial</x:v>
      </x:c>
      <x:c r="F35" s="95" t="str">
        <x:v>Fecha, premios y perfil</x:v>
      </x:c>
      <x:c r="G35" s="128" t="n">
        <x:v>46262</x:v>
      </x:c>
    </x:row>
    <x:row r="36">
      <x:c r="A36" s="93" t="str">
        <x:v>SRC-032</x:v>
      </x:c>
      <x:c r="B36" s="95" t="str">
        <x:v>Banco de Chile</x:v>
      </x:c>
      <x:c r="C36" s="95" t="str">
        <x:v>Desafío Emprendedor</x:v>
      </x:c>
      <x:c r="D36" s="95" t="str">
        <x:v>https://desafioemprendedor.cl/</x:v>
      </x:c>
      <x:c r="E36" s="95" t="str">
        <x:v>Oficial</x:v>
      </x:c>
      <x:c r="F36" s="95" t="str">
        <x:v>Programa privado recurrente</x:v>
      </x:c>
      <x:c r="G36" s="128" t="n">
        <x:v>46262</x:v>
      </x:c>
    </x:row>
    <x:row r="37">
      <x:c r="A37" s="93" t="str">
        <x:v>SRC-033</x:v>
      </x:c>
      <x:c r="B37" s="95" t="str">
        <x:v>Santander</x:v>
      </x:c>
      <x:c r="C37" s="95" t="str">
        <x:v>Santander X</x:v>
      </x:c>
      <x:c r="D37" s="95" t="str">
        <x:v>https://www.santanderx.com/</x:v>
      </x:c>
      <x:c r="E37" s="95" t="str">
        <x:v>Oficial</x:v>
      </x:c>
      <x:c r="F37" s="95" t="str">
        <x:v>Premios y categorías</x:v>
      </x:c>
      <x:c r="G37" s="128" t="n">
        <x:v>46262</x:v>
      </x:c>
    </x:row>
    <x:row r="38">
      <x:c r="A38" s="93" t="str">
        <x:v>SRC-034</x:v>
      </x:c>
      <x:c r="B38" s="95" t="str">
        <x:v>Caja Los Andes</x:v>
      </x:c>
      <x:c r="C38" s="95" t="str">
        <x:v>TECLA</x:v>
      </x:c>
      <x:c r="D38" s="95" t="str">
        <x:v>https://www.tecla.cl/</x:v>
      </x:c>
      <x:c r="E38" s="95" t="str">
        <x:v>Oficial</x:v>
      </x:c>
      <x:c r="F38" s="95" t="str">
        <x:v>Programa de impacto; vigencia pendiente</x:v>
      </x:c>
      <x:c r="G38" s="128" t="n">
        <x:v>46262</x:v>
      </x:c>
    </x:row>
    <x:row r="39">
      <x:c r="A39" s="93" t="str">
        <x:v>SRC-035</x:v>
      </x:c>
      <x:c r="B39" s="95" t="str">
        <x:v>Fundación Copec-UC</x:v>
      </x:c>
      <x:c r="C39" s="95" t="str">
        <x:v>I+D para Innovar</x:v>
      </x:c>
      <x:c r="D39" s="95" t="str">
        <x:v>https://fundcopec-uc.cl/</x:v>
      </x:c>
      <x:c r="E39" s="95" t="str">
        <x:v>Oficial</x:v>
      </x:c>
      <x:c r="F39" s="95" t="str">
        <x:v>Fondo de I+D</x:v>
      </x:c>
      <x:c r="G39" s="128" t="n">
        <x:v>46262</x:v>
      </x:c>
    </x:row>
    <x:row r="40">
      <x:c r="A40" s="100" t="str">
        <x:v>SRC-036</x:v>
      </x:c>
      <x:c r="B40" s="102" t="str">
        <x:v>Ministerio de Energía</x:v>
      </x:c>
      <x:c r="C40" s="102" t="str">
        <x:v>Portal institucional</x:v>
      </x:c>
      <x:c r="D40" s="102" t="str">
        <x:v>https://energia.gob.cl/</x:v>
      </x:c>
      <x:c r="E40" s="102" t="str">
        <x:v>Oficial</x:v>
      </x:c>
      <x:c r="F40" s="102" t="str">
        <x:v>Verificación de línea energética</x:v>
      </x:c>
      <x:c r="G40" s="129" t="n">
        <x:v>46262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5c18803b88f42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85" t="str">
        <x:v>Estado convocatoria</x:v>
      </x:c>
      <x:c r="B1" s="85" t="str">
        <x:v>Prioridad MVP</x:v>
      </x:c>
      <x:c r="C1" s="85" t="str">
        <x:v>Confianza</x:v>
      </x:c>
      <x:c r="D1" s="85" t="str">
        <x:v>No reembolsable</x:v>
      </x:c>
      <x:c r="E1" s="85" t="str">
        <x:v>Etapas Humm</x:v>
      </x:c>
    </x:row>
    <x:row r="2">
      <x:c r="A2" s="83" t="str">
        <x:v>Abierta</x:v>
      </x:c>
      <x:c r="B2" s="83" t="str">
        <x:v>Alta</x:v>
      </x:c>
      <x:c r="C2" s="83" t="str">
        <x:v>Alta</x:v>
      </x:c>
      <x:c r="D2" s="83" t="str">
        <x:v>Sí</x:v>
      </x:c>
      <x:c r="E2" s="83" t="str">
        <x:v>Idea</x:v>
      </x:c>
    </x:row>
    <x:row r="3">
      <x:c r="A3" s="83" t="str">
        <x:v>Próxima</x:v>
      </x:c>
      <x:c r="B3" s="83" t="str">
        <x:v>Media</x:v>
      </x:c>
      <x:c r="C3" s="83" t="str">
        <x:v>Media</x:v>
      </x:c>
      <x:c r="D3" s="83" t="str">
        <x:v>Sí, en especie</x:v>
      </x:c>
      <x:c r="E3" s="83" t="str">
        <x:v>Incubación</x:v>
      </x:c>
    </x:row>
    <x:row r="4">
      <x:c r="A4" s="83" t="str">
        <x:v>Cerrada</x:v>
      </x:c>
      <x:c r="B4" s="83" t="str">
        <x:v>Baja</x:v>
      </x:c>
      <x:c r="C4" s="83" t="str">
        <x:v>Baja</x:v>
      </x:c>
      <x:c r="D4" s="83" t="str">
        <x:v>Parcial</x:v>
      </x:c>
      <x:c r="E4" s="83" t="str">
        <x:v>Ventas informales</x:v>
      </x:c>
    </x:row>
    <x:row r="5">
      <x:c r="A5" s="83" t="str">
        <x:v>Por verificar</x:v>
      </x:c>
      <x:c r="B5" s="83" t="str">
        <x:v>Fuera de foco</x:v>
      </x:c>
      <x:c r="C5" s="83"/>
      <x:c r="D5" s="83" t="str">
        <x:v>Por verificar</x:v>
      </x:c>
      <x:c r="E5" s="83" t="str">
        <x:v>Ventas formales baja escala</x:v>
      </x:c>
    </x:row>
    <x:row r="6">
      <x:c r="A6" s="83" t="str">
        <x:v>Vigencia regional</x:v>
      </x:c>
      <x:c r="B6" s="83"/>
      <x:c r="C6" s="83"/>
      <x:c r="D6" s="83"/>
      <x:c r="E6" s="83"/>
    </x:row>
  </x:sheetData>
  <x:pageMargins left="0.7" right="0.7" top="0.75" bottom="0.75" header="0.3" footer="0.3"/>
</x:worksheet>
</file>